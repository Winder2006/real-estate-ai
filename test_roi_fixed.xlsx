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<sst xmlns="http://schemas.openxmlformats.org/spreadsheetml/2006/main" count="219" uniqueCount="167">
  <si>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</si>
  <si>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</si>
  <si>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</si>
  <si>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</si>
  <si>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</si>
  <si>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</si>
  <si>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</si>
  <si>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</si>
  <si>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</si>
  <si>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</si>
  <si>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</si>
  <si>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</si>
  <si>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</si>
  <si>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</si>
  <si>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Total Units</t>
  </si>
  <si>
    <t>Avg SF per Unit</t>
  </si>
  <si>
    <t>FINANCIAL ASSUMPTIONS</t>
  </si>
  <si>
    <t>Annual Gross Rent</t>
  </si>
  <si>
    <t>Rent Growth Rate</t>
  </si>
  <si>
    <t>Vacancy Rate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</si>
  <si>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</si>
  <si>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</si>
  <si>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</si>
  <si>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</si>
  <si>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</si>
  <si>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</si>
  <si>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</si>
  <si>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</si>
  <si>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Inflation Rate</t>
  </si>
  <si>
    <t>Down Payment %</t>
  </si>
  <si>
    <t>Permanent Loan Rate</t>
  </si>
  <si>
    <t>Loan Term (Years)</t>
  </si>
  <si>
    <t>Closing Costs %</t>
  </si>
  <si>
    <t>Exit Cap Rate</t>
  </si>
  <si>
    <t>Selling Costs %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</si>
  <si>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</si>
  <si>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</si>
  <si>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</si>
  <si>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</si>
  <si>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</si>
  <si>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</si>
  <si>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</si>
  <si>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</si>
  <si>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</si>
  <si>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</si>
  <si>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</si>
  <si>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</si>
  <si>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</si>
  <si>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</si>
  <si>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Gross Rental Income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</si>
  <si>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</si>
  <si>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</si>
  <si>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</si>
  <si>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</si>
  <si>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</si>
  <si>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 xml:space="preserve">5-Year Pro Forma Analysis - </t>
  </si>
  <si>
    <t>Analysis Date: July 24, 2025</t>
  </si>
  <si>
    <t>KEY ASSUMPTIONS (All values are editable)</t>
  </si>
  <si>
    <t>Purchase Price</t>
  </si>
  <si>
    <t>Interest Rate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</si>
  <si>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</si>
  <si>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</si>
  <si>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</si>
  <si>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</si>
  <si>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</si>
  <si>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</si>
  <si>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</si>
  <si>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</si>
  <si>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Total Square Feet</t>
  </si>
  <si>
    <t>NOI Margin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</si>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</sst>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5" spans="1:5">
      <c r="A5" s="2" t="s">
        <v>3</v>
      </c>
      <c r="B5" s="2" t="s">
        <v>4</v>
      </c>
      <c r="C5" s="2" t="s">
        <v>5</v>
      </c>
      <c r="D5" s="2" t="s">
        <v>4</v>
      </c>
    </row>
    <row r="6" spans="1:5">
      <c r="A6" s="4" t="s">
        <v>6</v>
      </c>
      <c r="B6" s="5"/>
      <c r="C6" s="4" t="s">
        <v>11</v>
      </c>
      <c r="D6" s="6">
        <v>0</v>
      </c>
    </row>
    <row r="7" spans="1:5">
      <c r="A7" s="4" t="s">
        <v>7</v>
      </c>
      <c r="B7" s="5" t="s">
        <v>8</v>
      </c>
      <c r="C7" s="4" t="s">
        <v>12</v>
      </c>
      <c r="D7" s="7" t="s">
        <v>13</v>
      </c>
    </row>
    <row r="8" spans="1:5">
      <c r="A8" s="4" t="s">
        <v>9</v>
      </c>
      <c r="B8" s="5"/>
      <c r="C8" s="4" t="s">
        <v>14</v>
      </c>
      <c r="D8" s="7">
        <v>1</v>
      </c>
    </row>
    <row r="9" spans="1:5">
      <c r="A9" s="4" t="s">
        <v>10</v>
      </c>
      <c r="B9" s="5"/>
      <c r="C9" s="4" t="s">
        <v>15</v>
      </c>
      <c r="D9" s="7">
        <v>0</v>
      </c>
    </row>
    <row r="11" spans="1:5">
      <c r="A11" s="8" t="s">
        <v>16</v>
      </c>
      <c r="B11" s="8"/>
      <c r="C11" s="8"/>
      <c r="D11" s="8"/>
      <c r="E11" s="8"/>
    </row>
    <row r="12" spans="1:5">
      <c r="A12" s="4" t="s">
        <v>17</v>
      </c>
      <c r="B12" s="6">
        <v>24000</v>
      </c>
    </row>
    <row r="13" spans="1:5">
      <c r="A13" s="4" t="s">
        <v>18</v>
      </c>
      <c r="B13" s="9">
        <v>0.03</v>
      </c>
    </row>
    <row r="14" spans="1:5">
      <c r="A14" s="4" t="s">
        <v>19</v>
      </c>
      <c r="B14" s="9">
        <v>0.05</v>
      </c>
    </row>
    <row r="15" spans="1:5">
      <c r="A15" s="4" t="s">
        <v>20</v>
      </c>
      <c r="B15" s="9">
        <v>0.08</v>
      </c>
    </row>
    <row r="16" spans="1:5">
      <c r="A16" s="4" t="s">
        <v>21</v>
      </c>
      <c r="B16" s="9">
        <v>0.01</v>
      </c>
    </row>
    <row r="17" spans="1:5">
      <c r="A17" s="4" t="s">
        <v>22</v>
      </c>
      <c r="B17" s="9">
        <v>0.01</v>
      </c>
    </row>
    <row r="18" spans="1:5">
      <c r="A18" s="4" t="s">
        <v>23</v>
      </c>
      <c r="B18" s="9">
        <v>0.005</v>
      </c>
    </row>
    <row r="19" spans="1:5">
      <c r="A19" s="4" t="s">
        <v>24</v>
      </c>
      <c r="B19" s="9">
        <v>0.002</v>
      </c>
    </row>
    <row r="20" spans="1:5">
      <c r="A20" s="4" t="s">
        <v>25</v>
      </c>
      <c r="B20" s="9">
        <v>0.003</v>
      </c>
    </row>
    <row r="21" spans="1:5">
      <c r="A21" s="4" t="s">
        <v>26</v>
      </c>
      <c r="B21" s="9">
        <v>0.03</v>
      </c>
    </row>
    <row r="22" spans="1:5">
      <c r="A22" s="4" t="s">
        <v>27</v>
      </c>
      <c r="B22" s="9">
        <v>0.005</v>
      </c>
    </row>
    <row r="23" spans="1:5">
      <c r="A23" s="4" t="s">
        <v>28</v>
      </c>
      <c r="B23" s="9">
        <v>0.025</v>
      </c>
    </row>
    <row r="24" spans="1:5">
      <c r="A24" s="4" t="s">
        <v>29</v>
      </c>
      <c r="B24" s="9">
        <v>0.2</v>
      </c>
    </row>
    <row r="25" spans="1:5">
      <c r="A25" s="4" t="s">
        <v>30</v>
      </c>
      <c r="B25" s="9">
        <v>0.05</v>
      </c>
    </row>
    <row r="26" spans="1:5">
      <c r="A26" s="4" t="s">
        <v>31</v>
      </c>
      <c r="B26" s="7">
        <v>30</v>
      </c>
    </row>
    <row r="27" spans="1:5">
      <c r="A27" s="4" t="s">
        <v>32</v>
      </c>
      <c r="B27" s="9">
        <v>0.03</v>
      </c>
    </row>
    <row r="28" spans="1:5">
      <c r="A28" s="4" t="s">
        <v>33</v>
      </c>
      <c r="B28" s="9">
        <v>0.06</v>
      </c>
    </row>
    <row r="29" spans="1:5">
      <c r="A29" s="4" t="s">
        <v>34</v>
      </c>
      <c r="B29" s="9">
        <v>0.07000000000000001</v>
      </c>
    </row>
    <row r="31" spans="1:5">
      <c r="A31" s="10" t="s">
        <v>35</v>
      </c>
      <c r="B31" s="10"/>
      <c r="C31" s="10"/>
      <c r="D31" s="10"/>
      <c r="E31" s="10"/>
    </row>
    <row r="32" spans="1:5">
      <c r="A32" s="2" t="s">
        <v>36</v>
      </c>
      <c r="B32" s="2" t="s">
        <v>4</v>
      </c>
      <c r="C32" s="2" t="s">
        <v>37</v>
      </c>
      <c r="D32" s="2" t="s">
        <v>38</v>
      </c>
    </row>
    <row r="33" spans="1:5">
      <c r="A33" s="5" t="s">
        <v>39</v>
      </c>
      <c r="B33" s="11">
        <v>0</v>
      </c>
      <c r="C33" s="11">
        <v>0.06</v>
      </c>
      <c r="D33" s="5" t="s">
        <v>40</v>
      </c>
    </row>
    <row r="34" spans="1:5">
      <c r="A34" s="5" t="s">
        <v>41</v>
      </c>
      <c r="B34" s="11">
        <v>0</v>
      </c>
      <c r="C34" s="11">
        <v>0.08</v>
      </c>
      <c r="D34" s="5" t="s">
        <v>40</v>
      </c>
    </row>
    <row r="35" spans="1:5">
      <c r="A35" s="5" t="s">
        <v>42</v>
      </c>
      <c r="B35" s="12">
        <v>0</v>
      </c>
      <c r="C35" s="12">
        <v>300</v>
      </c>
      <c r="D35" s="5" t="s">
        <v>40</v>
      </c>
    </row>
    <row r="36" spans="1:5">
      <c r="A36" s="5" t="s">
        <v>43</v>
      </c>
      <c r="B36" s="11">
        <v>0</v>
      </c>
      <c r="C36" s="11">
        <v>0.008</v>
      </c>
      <c r="D36" s="5" t="s">
        <v>40</v>
      </c>
    </row>
    <row r="38" spans="1:5">
      <c r="A38" s="8" t="s">
        <v>44</v>
      </c>
      <c r="B38" s="8"/>
      <c r="C38" s="8"/>
      <c r="D38" s="8"/>
      <c r="E38" s="8"/>
    </row>
    <row r="39" spans="1:5">
      <c r="A39" s="2" t="s">
        <v>45</v>
      </c>
      <c r="B39" s="2" t="s">
        <v>46</v>
      </c>
      <c r="C39" s="2" t="s">
        <v>47</v>
      </c>
      <c r="D39" s="2" t="s">
        <v>48</v>
      </c>
    </row>
    <row r="40" spans="1:5">
      <c r="A40" s="5" t="s">
        <v>49</v>
      </c>
      <c r="B40" s="12">
        <v>0</v>
      </c>
      <c r="C40" s="12">
        <v>0</v>
      </c>
      <c r="D40" s="12">
        <v>0</v>
      </c>
    </row>
    <row r="41" spans="1:5">
      <c r="A41" s="5" t="s">
        <v>50</v>
      </c>
      <c r="B41" s="12">
        <v>0</v>
      </c>
      <c r="C41" s="12">
        <v>0</v>
      </c>
      <c r="D41" s="12">
        <v>0</v>
      </c>
    </row>
    <row r="42" spans="1:5">
      <c r="A42" s="5" t="s">
        <v>51</v>
      </c>
      <c r="B42" s="12">
        <v>0</v>
      </c>
      <c r="C42" s="12">
        <v>0</v>
      </c>
      <c r="D42" s="12">
        <v>0</v>
      </c>
    </row>
    <row r="43" spans="1:5">
      <c r="A43" s="5" t="s">
        <v>52</v>
      </c>
      <c r="B43" s="12">
        <v>0</v>
      </c>
      <c r="C43" s="12">
        <v>0</v>
      </c>
      <c r="D43" s="12">
        <v>0</v>
      </c>
    </row>
    <row r="44" spans="1:5">
      <c r="A44" s="5" t="s">
        <v>53</v>
      </c>
      <c r="B44" s="12">
        <v>0</v>
      </c>
      <c r="C44" s="12">
        <v>0</v>
      </c>
      <c r="D44" s="12">
        <v>0</v>
      </c>
    </row>
    <row r="46" spans="1:5">
      <c r="A46" s="5" t="s">
        <v>54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55</v>
      </c>
      <c r="B1" s="1"/>
      <c r="C1" s="1"/>
      <c r="D1" s="1"/>
      <c r="E1" s="1"/>
      <c r="F1" s="1"/>
      <c r="G1" s="1"/>
      <c r="H1" s="1"/>
    </row>
    <row r="2" spans="1:12">
      <c r="A2" s="2" t="s">
        <v>56</v>
      </c>
      <c r="B2" s="2"/>
      <c r="C2" s="2"/>
      <c r="D2" s="2"/>
      <c r="E2" s="2"/>
      <c r="F2" s="2"/>
      <c r="G2" s="2"/>
      <c r="H2" s="2"/>
      <c r="K2" s="3" t="s">
        <v>57</v>
      </c>
      <c r="L2" s="3"/>
    </row>
    <row r="4" spans="1:1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K4" s="4" t="s">
        <v>58</v>
      </c>
      <c r="L4" s="6">
        <v>0</v>
      </c>
    </row>
    <row r="5" spans="1:12">
      <c r="A5" s="10" t="s">
        <v>78</v>
      </c>
      <c r="B5" s="10"/>
      <c r="C5" s="10"/>
      <c r="D5" s="10"/>
      <c r="E5" s="10"/>
      <c r="F5" s="10"/>
      <c r="G5" s="10"/>
      <c r="H5" s="10"/>
      <c r="K5" s="4" t="s">
        <v>29</v>
      </c>
      <c r="L5" s="9">
        <v>0.2</v>
      </c>
    </row>
    <row r="6" spans="1:12">
      <c r="A6" s="5" t="s">
        <v>49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59</v>
      </c>
      <c r="L6" s="9">
        <v>0.05</v>
      </c>
    </row>
    <row r="7" spans="1:12">
      <c r="A7" s="5" t="s">
        <v>79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31</v>
      </c>
      <c r="L7" s="7">
        <v>30</v>
      </c>
    </row>
    <row r="8" spans="1:12">
      <c r="A8" s="4" t="s">
        <v>80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32</v>
      </c>
      <c r="L8" s="9">
        <v>0.03</v>
      </c>
    </row>
    <row r="9" spans="1:12">
      <c r="K9" s="4" t="s">
        <v>60</v>
      </c>
      <c r="L9" s="9">
        <v>0.08</v>
      </c>
    </row>
    <row r="10" spans="1:12">
      <c r="A10" s="8" t="s">
        <v>81</v>
      </c>
      <c r="B10" s="8"/>
      <c r="C10" s="8"/>
      <c r="D10" s="8"/>
      <c r="E10" s="8"/>
      <c r="F10" s="8"/>
      <c r="G10" s="8"/>
      <c r="H10" s="8"/>
      <c r="K10" s="4" t="s">
        <v>61</v>
      </c>
      <c r="L10" s="9">
        <v>0.03</v>
      </c>
    </row>
    <row r="11" spans="1:12">
      <c r="A11" s="5" t="s">
        <v>82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62</v>
      </c>
      <c r="L11" s="9">
        <v>0.005</v>
      </c>
    </row>
    <row r="12" spans="1:12">
      <c r="A12" s="4" t="s">
        <v>83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63</v>
      </c>
      <c r="L12" s="9">
        <v>0.01</v>
      </c>
    </row>
    <row r="13" spans="1:12">
      <c r="K13" s="4" t="s">
        <v>64</v>
      </c>
      <c r="L13" s="9">
        <v>0.01</v>
      </c>
    </row>
    <row r="14" spans="1:12">
      <c r="A14" s="5" t="s">
        <v>84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65</v>
      </c>
      <c r="L14" s="9">
        <v>0.005</v>
      </c>
    </row>
    <row r="15" spans="1:12">
      <c r="A15" s="5" t="s">
        <v>85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66</v>
      </c>
      <c r="L15" s="9">
        <v>0.002</v>
      </c>
    </row>
    <row r="16" spans="1:12">
      <c r="A16" s="5" t="s">
        <v>86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67</v>
      </c>
      <c r="L16" s="9">
        <v>0.003</v>
      </c>
    </row>
    <row r="17" spans="1:12">
      <c r="A17" s="5" t="s">
        <v>87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28</v>
      </c>
      <c r="L17" s="9">
        <v>0.025</v>
      </c>
    </row>
    <row r="18" spans="1:12">
      <c r="A18" s="5" t="s">
        <v>88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14</v>
      </c>
      <c r="L18" s="7">
        <v>1</v>
      </c>
    </row>
    <row r="19" spans="1:12">
      <c r="A19" s="5" t="s">
        <v>89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68</v>
      </c>
      <c r="L19" s="7">
        <v>0</v>
      </c>
    </row>
    <row r="20" spans="1:12">
      <c r="A20" s="5" t="s">
        <v>90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17</v>
      </c>
      <c r="L20" s="6">
        <v>0</v>
      </c>
    </row>
    <row r="21" spans="1:12">
      <c r="A21" s="5" t="s">
        <v>91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18</v>
      </c>
      <c r="L21" s="9">
        <v>0.03</v>
      </c>
    </row>
    <row r="22" spans="1:12">
      <c r="A22" s="4" t="s">
        <v>92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19</v>
      </c>
      <c r="L22" s="9">
        <v>0.05</v>
      </c>
    </row>
    <row r="23" spans="1:12">
      <c r="K23" s="4" t="s">
        <v>69</v>
      </c>
      <c r="L23" s="9">
        <v>0.7</v>
      </c>
    </row>
    <row r="24" spans="1:12">
      <c r="A24" s="10" t="s">
        <v>93</v>
      </c>
      <c r="B24" s="10"/>
      <c r="C24" s="10"/>
      <c r="D24" s="10"/>
      <c r="E24" s="10"/>
      <c r="F24" s="10"/>
      <c r="G24" s="10"/>
      <c r="H24" s="10"/>
      <c r="K24" s="4" t="s">
        <v>33</v>
      </c>
      <c r="L24" s="9">
        <v>0.06</v>
      </c>
    </row>
    <row r="25" spans="1:12">
      <c r="A25" s="4" t="s">
        <v>94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34</v>
      </c>
      <c r="L25" s="9">
        <v>0.07000000000000001</v>
      </c>
    </row>
    <row r="27" spans="1:12">
      <c r="A27" s="8" t="s">
        <v>95</v>
      </c>
      <c r="B27" s="8"/>
      <c r="C27" s="8"/>
      <c r="D27" s="8"/>
      <c r="E27" s="8"/>
      <c r="F27" s="8"/>
      <c r="G27" s="8"/>
      <c r="H27" s="8"/>
    </row>
    <row r="28" spans="1:12">
      <c r="A28" s="5" t="s">
        <v>96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97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98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99</v>
      </c>
      <c r="B33" s="3"/>
      <c r="C33" s="3"/>
      <c r="D33" s="3"/>
      <c r="E33" s="3"/>
      <c r="F33" s="3"/>
      <c r="G33" s="3"/>
      <c r="H33" s="3"/>
    </row>
    <row r="34" spans="1:8">
      <c r="A34" s="5" t="s">
        <v>100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101</v>
      </c>
    </row>
    <row r="36" spans="1:8">
      <c r="A36" s="5" t="s">
        <v>102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103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104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105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106</v>
      </c>
      <c r="B41" s="15"/>
      <c r="C41" s="15"/>
      <c r="D41" s="15"/>
      <c r="E41" s="15"/>
      <c r="F41" s="15"/>
      <c r="G41" s="15"/>
      <c r="H41" s="15"/>
    </row>
    <row r="42" spans="1:8">
      <c r="A42" s="4" t="s">
        <v>100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107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108</v>
      </c>
    </row>
    <row r="46" spans="1:8">
      <c r="A46" s="5" t="s">
        <v>109</v>
      </c>
      <c r="B46" s="11">
        <f>IRR(B43:F43)</f>
        <v>0</v>
      </c>
    </row>
    <row r="47" spans="1:8">
      <c r="A47" s="5" t="s">
        <v>110</v>
      </c>
      <c r="B47" s="16">
        <f>SUM(C43:F43)/ABS(B43)</f>
        <v>0</v>
      </c>
    </row>
    <row r="48" spans="1:8">
      <c r="A48" s="5" t="s">
        <v>111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4</v>
      </c>
      <c r="C4" s="2" t="s">
        <v>115</v>
      </c>
    </row>
    <row r="5" spans="1:3">
      <c r="A5" s="5" t="s">
        <v>58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</v>
      </c>
      <c r="B9" s="5" t="s">
        <v>8</v>
      </c>
      <c r="C9" s="17" t="s">
        <v>123</v>
      </c>
    </row>
    <row r="11" spans="1:3">
      <c r="A11" s="8" t="s">
        <v>16</v>
      </c>
      <c r="B11" s="8"/>
      <c r="C11" s="8"/>
    </row>
    <row r="12" spans="1:3">
      <c r="A12" s="2" t="s">
        <v>114</v>
      </c>
      <c r="B12" s="2" t="s">
        <v>4</v>
      </c>
      <c r="C12" s="2" t="s">
        <v>115</v>
      </c>
    </row>
    <row r="13" spans="1:3">
      <c r="A13" s="5" t="s">
        <v>29</v>
      </c>
      <c r="B13" s="11">
        <v>0.2</v>
      </c>
      <c r="C13" s="17" t="s">
        <v>124</v>
      </c>
    </row>
    <row r="14" spans="1:3">
      <c r="A14" s="5" t="s">
        <v>59</v>
      </c>
      <c r="B14" s="11">
        <v>0.05</v>
      </c>
      <c r="C14" s="17" t="s">
        <v>125</v>
      </c>
    </row>
    <row r="15" spans="1:3">
      <c r="A15" s="5" t="s">
        <v>31</v>
      </c>
      <c r="B15" s="16">
        <v>30</v>
      </c>
      <c r="C15" s="17" t="s">
        <v>126</v>
      </c>
    </row>
    <row r="16" spans="1:3">
      <c r="A16" s="5" t="s">
        <v>26</v>
      </c>
      <c r="B16" s="11">
        <v>0.03</v>
      </c>
      <c r="C16" s="17" t="s">
        <v>127</v>
      </c>
    </row>
    <row r="17" spans="1:3">
      <c r="A17" s="5" t="s">
        <v>27</v>
      </c>
      <c r="B17" s="11">
        <v>0.005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19</v>
      </c>
      <c r="B20" s="11">
        <v>0.05</v>
      </c>
      <c r="C20" s="17" t="s">
        <v>133</v>
      </c>
    </row>
    <row r="21" spans="1:3">
      <c r="A21" s="5" t="s">
        <v>32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4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28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103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58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4" t="s">
        <v>58</v>
      </c>
      <c r="L4" s="6">
        <v>0</v>
      </c>
    </row>
    <row r="5" spans="1:12">
      <c r="A5" s="5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4" t="s">
        <v>17</v>
      </c>
      <c r="L5" s="6">
        <v>0</v>
      </c>
    </row>
    <row r="6" spans="1:12">
      <c r="A6" s="5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4" t="s">
        <v>69</v>
      </c>
      <c r="L6" s="9">
        <v>0.7</v>
      </c>
    </row>
    <row r="7" spans="1:12">
      <c r="A7" s="5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4" t="s">
        <v>29</v>
      </c>
      <c r="L7" s="9">
        <v>0.2</v>
      </c>
    </row>
    <row r="8" spans="1:12">
      <c r="A8" s="5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4" t="s">
        <v>32</v>
      </c>
      <c r="L8" s="9">
        <v>0.03</v>
      </c>
    </row>
    <row r="9" spans="1:12">
      <c r="A9" s="5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4" t="s">
        <v>31</v>
      </c>
      <c r="L9" s="7">
        <v>30</v>
      </c>
    </row>
    <row r="12" spans="1:12">
      <c r="A12" s="8" t="s">
        <v>159</v>
      </c>
      <c r="B12" s="8"/>
      <c r="C12" s="8"/>
      <c r="D12" s="8"/>
      <c r="E12" s="8"/>
      <c r="F12" s="8"/>
      <c r="G12" s="8"/>
      <c r="H12" s="8"/>
    </row>
    <row r="13" spans="1:12">
      <c r="A13" s="2" t="s">
        <v>59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5" t="s">
        <v>160</v>
      </c>
      <c r="B14" s="11">
        <f>(((L5*(1+-10/100)*L6))-PMT(0.002916666666666667,(L9*12),-((L4*(1-L7))))*12)/((L4*(L7+L8)))</f>
        <v>0</v>
      </c>
      <c r="C14" s="11">
        <f>(((L5*(1+-5/100)*L6))-PMT(0.002916666666666667,(L9*12),-((L4*(1-L7))))*12)/((L4*(L7+L8)))</f>
        <v>0</v>
      </c>
      <c r="D14" s="11">
        <f>(((L5*(1+0/100)*L6))-PMT(0.002916666666666667,(L9*12),-((L4*(1-L7))))*12)/((L4*(L7+L8)))</f>
        <v>0</v>
      </c>
      <c r="E14" s="11">
        <f>(((L5*(1+5/100)*L6))-PMT(0.002916666666666667,(L9*12),-((L4*(1-L7))))*12)/((L4*(L7+L8)))</f>
        <v>0</v>
      </c>
      <c r="F14" s="11">
        <f>(((L5*(1+10/100)*L6))-PMT(0.002916666666666667,(L9*12),-((L4*(1-L7))))*12)/((L4*(L7+L8)))</f>
        <v>0</v>
      </c>
      <c r="G14" s="11">
        <f>(((L5*(1+15/100)*L6))-PMT(0.002916666666666667,(L9*12),-((L4*(1-L7))))*12)/((L4*(L7+L8)))</f>
        <v>0</v>
      </c>
      <c r="H14" s="11">
        <f>(((L5*(1+20/100)*L6))-PMT(0.002916666666666667,(L9*12),-((L4*(1-L7))))*12)/((L4*(L7+L8)))</f>
        <v>0</v>
      </c>
    </row>
    <row r="15" spans="1:12">
      <c r="A15" s="5" t="s">
        <v>161</v>
      </c>
      <c r="B15" s="11">
        <f>(((L5*(1+-10/100)*L6))-PMT(0.0033333333333333335,(L9*12),-((L4*(1-L7))))*12)/((L4*(L7+L8)))</f>
        <v>0</v>
      </c>
      <c r="C15" s="11">
        <f>(((L5*(1+-5/100)*L6))-PMT(0.0033333333333333335,(L9*12),-((L4*(1-L7))))*12)/((L4*(L7+L8)))</f>
        <v>0</v>
      </c>
      <c r="D15" s="11">
        <f>(((L5*(1+0/100)*L6))-PMT(0.0033333333333333335,(L9*12),-((L4*(1-L7))))*12)/((L4*(L7+L8)))</f>
        <v>0</v>
      </c>
      <c r="E15" s="11">
        <f>(((L5*(1+5/100)*L6))-PMT(0.0033333333333333335,(L9*12),-((L4*(1-L7))))*12)/((L4*(L7+L8)))</f>
        <v>0</v>
      </c>
      <c r="F15" s="11">
        <f>(((L5*(1+10/100)*L6))-PMT(0.0033333333333333335,(L9*12),-((L4*(1-L7))))*12)/((L4*(L7+L8)))</f>
        <v>0</v>
      </c>
      <c r="G15" s="11">
        <f>(((L5*(1+15/100)*L6))-PMT(0.0033333333333333335,(L9*12),-((L4*(1-L7))))*12)/((L4*(L7+L8)))</f>
        <v>0</v>
      </c>
      <c r="H15" s="11">
        <f>(((L5*(1+20/100)*L6))-PMT(0.0033333333333333335,(L9*12),-((L4*(1-L7))))*12)/((L4*(L7+L8)))</f>
        <v>0</v>
      </c>
    </row>
    <row r="16" spans="1:12">
      <c r="A16" s="5" t="s">
        <v>162</v>
      </c>
      <c r="B16" s="11">
        <f>(((L5*(1+-10/100)*L6))-PMT(0.00375,(L9*12),-((L4*(1-L7))))*12)/((L4*(L7+L8)))</f>
        <v>0</v>
      </c>
      <c r="C16" s="11">
        <f>(((L5*(1+-5/100)*L6))-PMT(0.00375,(L9*12),-((L4*(1-L7))))*12)/((L4*(L7+L8)))</f>
        <v>0</v>
      </c>
      <c r="D16" s="11">
        <f>(((L5*(1+0/100)*L6))-PMT(0.00375,(L9*12),-((L4*(1-L7))))*12)/((L4*(L7+L8)))</f>
        <v>0</v>
      </c>
      <c r="E16" s="11">
        <f>(((L5*(1+5/100)*L6))-PMT(0.00375,(L9*12),-((L4*(1-L7))))*12)/((L4*(L7+L8)))</f>
        <v>0</v>
      </c>
      <c r="F16" s="11">
        <f>(((L5*(1+10/100)*L6))-PMT(0.00375,(L9*12),-((L4*(1-L7))))*12)/((L4*(L7+L8)))</f>
        <v>0</v>
      </c>
      <c r="G16" s="11">
        <f>(((L5*(1+15/100)*L6))-PMT(0.00375,(L9*12),-((L4*(1-L7))))*12)/((L4*(L7+L8)))</f>
        <v>0</v>
      </c>
      <c r="H16" s="11">
        <f>(((L5*(1+20/100)*L6))-PMT(0.00375,(L9*12),-((L4*(1-L7))))*12)/((L4*(L7+L8)))</f>
        <v>0</v>
      </c>
    </row>
    <row r="17" spans="1:8">
      <c r="A17" s="5" t="s">
        <v>163</v>
      </c>
      <c r="B17" s="11">
        <f>(((L5*(1+-10/100)*L6))-PMT(0.004166666666666667,(L9*12),-((L4*(1-L7))))*12)/((L4*(L7+L8)))</f>
        <v>0</v>
      </c>
      <c r="C17" s="11">
        <f>(((L5*(1+-5/100)*L6))-PMT(0.004166666666666667,(L9*12),-((L4*(1-L7))))*12)/((L4*(L7+L8)))</f>
        <v>0</v>
      </c>
      <c r="D17" s="11">
        <f>(((L5*(1+0/100)*L6))-PMT(0.004166666666666667,(L9*12),-((L4*(1-L7))))*12)/((L4*(L7+L8)))</f>
        <v>0</v>
      </c>
      <c r="E17" s="11">
        <f>(((L5*(1+5/100)*L6))-PMT(0.004166666666666667,(L9*12),-((L4*(1-L7))))*12)/((L4*(L7+L8)))</f>
        <v>0</v>
      </c>
      <c r="F17" s="11">
        <f>(((L5*(1+10/100)*L6))-PMT(0.004166666666666667,(L9*12),-((L4*(1-L7))))*12)/((L4*(L7+L8)))</f>
        <v>0</v>
      </c>
      <c r="G17" s="11">
        <f>(((L5*(1+15/100)*L6))-PMT(0.004166666666666667,(L9*12),-((L4*(1-L7))))*12)/((L4*(L7+L8)))</f>
        <v>0</v>
      </c>
      <c r="H17" s="11">
        <f>(((L5*(1+20/100)*L6))-PMT(0.004166666666666667,(L9*12),-((L4*(1-L7))))*12)/((L4*(L7+L8)))</f>
        <v>0</v>
      </c>
    </row>
    <row r="18" spans="1:8">
      <c r="A18" s="5" t="s">
        <v>164</v>
      </c>
      <c r="B18" s="11">
        <f>(((L5*(1+-10/100)*L6))-PMT(0.004583333333333333,(L9*12),-((L4*(1-L7))))*12)/((L4*(L7+L8)))</f>
        <v>0</v>
      </c>
      <c r="C18" s="11">
        <f>(((L5*(1+-5/100)*L6))-PMT(0.004583333333333333,(L9*12),-((L4*(1-L7))))*12)/((L4*(L7+L8)))</f>
        <v>0</v>
      </c>
      <c r="D18" s="11">
        <f>(((L5*(1+0/100)*L6))-PMT(0.004583333333333333,(L9*12),-((L4*(1-L7))))*12)/((L4*(L7+L8)))</f>
        <v>0</v>
      </c>
      <c r="E18" s="11">
        <f>(((L5*(1+5/100)*L6))-PMT(0.004583333333333333,(L9*12),-((L4*(1-L7))))*12)/((L4*(L7+L8)))</f>
        <v>0</v>
      </c>
      <c r="F18" s="11">
        <f>(((L5*(1+10/100)*L6))-PMT(0.004583333333333333,(L9*12),-((L4*(1-L7))))*12)/((L4*(L7+L8)))</f>
        <v>0</v>
      </c>
      <c r="G18" s="11">
        <f>(((L5*(1+15/100)*L6))-PMT(0.004583333333333333,(L9*12),-((L4*(1-L7))))*12)/((L4*(L7+L8)))</f>
        <v>0</v>
      </c>
      <c r="H18" s="11">
        <f>(((L5*(1+20/100)*L6))-PMT(0.004583333333333333,(L9*12),-((L4*(1-L7))))*12)/((L4*(L7+L8)))</f>
        <v>0</v>
      </c>
    </row>
    <row r="19" spans="1:8">
      <c r="A19" s="5" t="s">
        <v>165</v>
      </c>
      <c r="B19" s="11">
        <f>(((L5*(1+-10/100)*L6))-PMT(0.005,(L9*12),-((L4*(1-L7))))*12)/((L4*(L7+L8)))</f>
        <v>0</v>
      </c>
      <c r="C19" s="11">
        <f>(((L5*(1+-5/100)*L6))-PMT(0.005,(L9*12),-((L4*(1-L7))))*12)/((L4*(L7+L8)))</f>
        <v>0</v>
      </c>
      <c r="D19" s="11">
        <f>(((L5*(1+0/100)*L6))-PMT(0.005,(L9*12),-((L4*(1-L7))))*12)/((L4*(L7+L8)))</f>
        <v>0</v>
      </c>
      <c r="E19" s="11">
        <f>(((L5*(1+5/100)*L6))-PMT(0.005,(L9*12),-((L4*(1-L7))))*12)/((L4*(L7+L8)))</f>
        <v>0</v>
      </c>
      <c r="F19" s="11">
        <f>(((L5*(1+10/100)*L6))-PMT(0.005,(L9*12),-((L4*(1-L7))))*12)/((L4*(L7+L8)))</f>
        <v>0</v>
      </c>
      <c r="G19" s="11">
        <f>(((L5*(1+15/100)*L6))-PMT(0.005,(L9*12),-((L4*(1-L7))))*12)/((L4*(L7+L8)))</f>
        <v>0</v>
      </c>
      <c r="H19" s="11">
        <f>(((L5*(1+20/100)*L6))-PMT(0.005,(L9*12),-((L4*(1-L7))))*12)/((L4*(L7+L8)))</f>
        <v>0</v>
      </c>
    </row>
    <row r="20" spans="1:8">
      <c r="A20" s="5" t="s">
        <v>166</v>
      </c>
      <c r="B20" s="11">
        <f>(((L5*(1+-10/100)*L6))-PMT(0.005416666666666667,(L9*12),-((L4*(1-L7))))*12)/((L4*(L7+L8)))</f>
        <v>0</v>
      </c>
      <c r="C20" s="11">
        <f>(((L5*(1+-5/100)*L6))-PMT(0.005416666666666667,(L9*12),-((L4*(1-L7))))*12)/((L4*(L7+L8)))</f>
        <v>0</v>
      </c>
      <c r="D20" s="11">
        <f>(((L5*(1+0/100)*L6))-PMT(0.005416666666666667,(L9*12),-((L4*(1-L7))))*12)/((L4*(L7+L8)))</f>
        <v>0</v>
      </c>
      <c r="E20" s="11">
        <f>(((L5*(1+5/100)*L6))-PMT(0.005416666666666667,(L9*12),-((L4*(1-L7))))*12)/((L4*(L7+L8)))</f>
        <v>0</v>
      </c>
      <c r="F20" s="11">
        <f>(((L5*(1+10/100)*L6))-PMT(0.005416666666666667,(L9*12),-((L4*(1-L7))))*12)/((L4*(L7+L8)))</f>
        <v>0</v>
      </c>
      <c r="G20" s="11">
        <f>(((L5*(1+15/100)*L6))-PMT(0.005416666666666667,(L9*12),-((L4*(1-L7))))*12)/((L4*(L7+L8)))</f>
        <v>0</v>
      </c>
      <c r="H20" s="11">
        <f>(((L5*(1+20/100)*L6))-PMT(0.005416666666666667,(L9*12),-((L4*(1-L7))))*12)/((L4*(L7+L8)))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2025-07-24T20:59:24Z</dcterms:created>
  <dcterms:modified xsi:type="dcterms:W3CDTF">2025-07-24T20:59:24Z</dcterms:modified>
</cp:coreProperties>
</file>