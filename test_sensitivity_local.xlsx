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Pro Forma Analysis" sheetId="2" r:id="rId2"/>
    <sheet name="Assumptions" sheetId="3" r:id="rId3"/>
    <sheet name="Sensitivity Analysis" sheetId="4" r:id="rId4"/>
  </sheets>
  <calcPr calcId="124519" fullCalcOnLoad="1"/>
</workbook>
</file>

<file path=xl/sharedStrings.xml><?xml version="1.0" encoding="utf-8"?>
<sst xmlns="http://schemas.openxmlformats.org/spreadsheetml/2006/main" count="219" uniqueCount="167">
  <si>
    <t xml:space="preserve">Investment Analysis - </t>
  </si>
  <si>
    <t>Generated on July 24, 2025</t>
  </si>
  <si>
    <t>PROPERTY INFORMATION</t>
  </si>
  <si>
    <t>Property Details</t>
  </si>
  <si>
    <t>Value</t>
  </si>
  <si>
    <t>Project Metrics</t>
  </si>
  <si>
    <t>Address</t>
  </si>
  <si>
    <t>Property Type</t>
  </si>
  <si>
    <t>House</t>
  </si>
  <si>
    <t>Neighborhood</t>
  </si>
  <si>
    <t>Zip Code</t>
  </si>
  <si>
    <t>Total Development Cost</t>
  </si>
  <si>
    <t>Total Square Footage</t>
  </si>
  <si>
    <t>0 SF</t>
  </si>
  <si>
    <t>Total Units</t>
  </si>
  <si>
    <t>Avg SF per Unit</t>
  </si>
  <si>
    <t>FINANCIAL ASSUMPTIONS</t>
  </si>
  <si>
    <t>Annual Gross Rent</t>
  </si>
  <si>
    <t>Rent Growth Rate</t>
  </si>
  <si>
    <t>Vacancy Rate</t>
  </si>
  <si>
    <t>Property Management %</t>
  </si>
  <si>
    <t>Maintenance % of EGI</t>
  </si>
  <si>
    <t>Capital Reserves % of EGI</t>
  </si>
  <si>
    <t>Utilities % of EGI</t>
  </si>
  <si>
    <t>Legal &amp; Professional % of EGI</t>
  </si>
  <si>
    <t>Other Operating % of EGI</t>
  </si>
  <si>
    <t>Property Tax Rate</t>
  </si>
  <si>
    <t>Insurance Rate</t>
  </si>
  <si>
    <t>Inflation Rate</t>
  </si>
  <si>
    <t>Down Payment %</t>
  </si>
  <si>
    <t>Permanent Loan Rate</t>
  </si>
  <si>
    <t>Loan Term (Years)</t>
  </si>
  <si>
    <t>Closing Costs %</t>
  </si>
  <si>
    <t>Exit Cap Rate</t>
  </si>
  <si>
    <t>Selling Costs %</t>
  </si>
  <si>
    <t>KEY INVESTMENT METRICS</t>
  </si>
  <si>
    <t>Metric</t>
  </si>
  <si>
    <t>Target</t>
  </si>
  <si>
    <t>Status</t>
  </si>
  <si>
    <t>Cap Rate</t>
  </si>
  <si>
    <t>Poor</t>
  </si>
  <si>
    <t>Cash-on-Cash Return</t>
  </si>
  <si>
    <t>Monthly Cash Flow</t>
  </si>
  <si>
    <t>Rent-to-Price Ratio</t>
  </si>
  <si>
    <t>FINANCIAL SUMMARY</t>
  </si>
  <si>
    <t>Item</t>
  </si>
  <si>
    <t>Monthly</t>
  </si>
  <si>
    <t>Annual</t>
  </si>
  <si>
    <t>5-Year Total</t>
  </si>
  <si>
    <t>Gross Rental Income</t>
  </si>
  <si>
    <t>Total Operating Expenses</t>
  </si>
  <si>
    <t>Net Operating Income</t>
  </si>
  <si>
    <t>Debt Service</t>
  </si>
  <si>
    <t>Before-Tax Cash Flow (Operations)</t>
  </si>
  <si>
    <t>Note: Excludes sale proceeds in Year 5</t>
  </si>
  <si>
    <t xml:space="preserve">5-Year Pro Forma Analysis - </t>
  </si>
  <si>
    <t>Analysis Date: July 24, 2025</t>
  </si>
  <si>
    <t>KEY ASSUMPTIONS (All values are editable)</t>
  </si>
  <si>
    <t>Purchase Price</t>
  </si>
  <si>
    <t>Interest Rate</t>
  </si>
  <si>
    <t>Property Mgmt %</t>
  </si>
  <si>
    <t>Property Tax %</t>
  </si>
  <si>
    <t>Insurance %</t>
  </si>
  <si>
    <t>Maintenance %</t>
  </si>
  <si>
    <t>Capital Reserves %</t>
  </si>
  <si>
    <t>Utilities %</t>
  </si>
  <si>
    <t>Legal %</t>
  </si>
  <si>
    <t>Other Expenses %</t>
  </si>
  <si>
    <t>Total Square Feet</t>
  </si>
  <si>
    <t>NOI Margin</t>
  </si>
  <si>
    <t>Line Item</t>
  </si>
  <si>
    <t>Year 1</t>
  </si>
  <si>
    <t>Year 2</t>
  </si>
  <si>
    <t>Year 3</t>
  </si>
  <si>
    <t>Year 4</t>
  </si>
  <si>
    <t>Year 5</t>
  </si>
  <si>
    <t>$ per Unit</t>
  </si>
  <si>
    <t>$ per SF</t>
  </si>
  <si>
    <t>GROSS RENTAL INCOME</t>
  </si>
  <si>
    <t>Other Income (5% of Gross Rent)</t>
  </si>
  <si>
    <t>TOTAL GROSS INCOME</t>
  </si>
  <si>
    <t>OPERATING EXPENSES</t>
  </si>
  <si>
    <t>Vacancy &amp; Credit Loss</t>
  </si>
  <si>
    <t>EFFECTIVE GROSS INCOME</t>
  </si>
  <si>
    <t>Property Management</t>
  </si>
  <si>
    <t>Property Taxes</t>
  </si>
  <si>
    <t>Insurance</t>
  </si>
  <si>
    <t>Maintenance &amp; Repairs</t>
  </si>
  <si>
    <t>Capital Reserves</t>
  </si>
  <si>
    <t>Utilities</t>
  </si>
  <si>
    <t>Legal &amp; Professional</t>
  </si>
  <si>
    <t>Other Operating Expenses</t>
  </si>
  <si>
    <t>TOTAL OPERATING EXPENSES</t>
  </si>
  <si>
    <t>NET OPERATING INCOME</t>
  </si>
  <si>
    <t>NET OPERATING INCOME (NOI)</t>
  </si>
  <si>
    <t>DEBT SERVICE</t>
  </si>
  <si>
    <t>Annual Debt Service (P&amp;I)</t>
  </si>
  <si>
    <t>CASH FLOW FROM OPERATIONS</t>
  </si>
  <si>
    <t>Before-Tax Cash Flow</t>
  </si>
  <si>
    <t>CAPITAL EVENTS</t>
  </si>
  <si>
    <t>Initial Investment</t>
  </si>
  <si>
    <t>Property Sale Analysis (Year 5)</t>
  </si>
  <si>
    <t>Sale Price (NOI ÷ Exit Cap Rate)</t>
  </si>
  <si>
    <t>Selling Costs</t>
  </si>
  <si>
    <t>Remaining Loan Balance</t>
  </si>
  <si>
    <t>Net Sale Proceeds</t>
  </si>
  <si>
    <t>TOTAL INVESTMENT RETURNS</t>
  </si>
  <si>
    <t>Total Cash Flow</t>
  </si>
  <si>
    <t>Investment Performance Metrics</t>
  </si>
  <si>
    <t>IRR (Internal Rate of Return)</t>
  </si>
  <si>
    <t>Equity Multiple</t>
  </si>
  <si>
    <t>Total ROI (Unlevered)</t>
  </si>
  <si>
    <t>INVESTMENT ASSUMPTIONS</t>
  </si>
  <si>
    <t>PROPERTY ASSUMPTIONS</t>
  </si>
  <si>
    <t>Assumption</t>
  </si>
  <si>
    <t>Notes</t>
  </si>
  <si>
    <t>Contract price</t>
  </si>
  <si>
    <t>Square Footage</t>
  </si>
  <si>
    <t>Gross rentable area</t>
  </si>
  <si>
    <t>Bedrooms</t>
  </si>
  <si>
    <t>Total bedrooms</t>
  </si>
  <si>
    <t>Bathrooms</t>
  </si>
  <si>
    <t>Total bathrooms</t>
  </si>
  <si>
    <t>Property classification</t>
  </si>
  <si>
    <t>Percentage of purchase price</t>
  </si>
  <si>
    <t>Annual interest rate</t>
  </si>
  <si>
    <t>Mortgage term in years</t>
  </si>
  <si>
    <t>Annual property tax rate</t>
  </si>
  <si>
    <t>Annual insurance rate</t>
  </si>
  <si>
    <t>Maintenance Rate</t>
  </si>
  <si>
    <t>Annual maintenance as % of income</t>
  </si>
  <si>
    <t>Capital Reserves Rate</t>
  </si>
  <si>
    <t>Annual reserves as % of income</t>
  </si>
  <si>
    <t>Expected vacancy rate</t>
  </si>
  <si>
    <t>Closing costs as % of price</t>
  </si>
  <si>
    <t>MARKET ASSUMPTIONS</t>
  </si>
  <si>
    <t>Annual Rent Growth</t>
  </si>
  <si>
    <t>Expected annual rent increase</t>
  </si>
  <si>
    <t>Annual Appreciation</t>
  </si>
  <si>
    <t>Expected property value appreciation</t>
  </si>
  <si>
    <t>General inflation for expenses</t>
  </si>
  <si>
    <t>Property Management Fee</t>
  </si>
  <si>
    <t>Management fee as % of gross income</t>
  </si>
  <si>
    <t>Total costs to sell property</t>
  </si>
  <si>
    <t>SENSITIVITY ANALYSIS</t>
  </si>
  <si>
    <t>SENSITIVITY ASSUMPTIONS</t>
  </si>
  <si>
    <t>CAP RATE SENSITIVITY</t>
  </si>
  <si>
    <t>Rent -10%</t>
  </si>
  <si>
    <t>Rent -5%</t>
  </si>
  <si>
    <t>Rent +0%</t>
  </si>
  <si>
    <t>Rent +5%</t>
  </si>
  <si>
    <t>Rent +10%</t>
  </si>
  <si>
    <t>Rent +15%</t>
  </si>
  <si>
    <t>Rent +20%</t>
  </si>
  <si>
    <t>$0 (-10%)</t>
  </si>
  <si>
    <t>$0 (-5%)</t>
  </si>
  <si>
    <t>$0 (+0%)</t>
  </si>
  <si>
    <t>$0 (+5%)</t>
  </si>
  <si>
    <t>$0 (+10%)</t>
  </si>
  <si>
    <t>CASH-ON-CASH RETURN SENSITIVITY</t>
  </si>
  <si>
    <t>3.5%</t>
  </si>
  <si>
    <t>4.0%</t>
  </si>
  <si>
    <t>4.5%</t>
  </si>
  <si>
    <t>5.0%</t>
  </si>
  <si>
    <t>5.5%</t>
  </si>
  <si>
    <t>6.0%</t>
  </si>
  <si>
    <t>6.5%</t>
  </si>
</sst>
</file>

<file path=xl/styles.xml><?xml version="1.0" encoding="utf-8"?>
<styleSheet xmlns="http://schemas.openxmlformats.org/spreadsheetml/2006/main">
  <numFmts count="4">
    <numFmt numFmtId="164" formatCode="$#,##0"/>
    <numFmt numFmtId="165" formatCode="0.00%"/>
    <numFmt numFmtId="166" formatCode="$#,##0.00"/>
    <numFmt numFmtId="167" formatCode="#,##0"/>
  </numFmts>
  <fonts count="8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6CC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  <fill>
      <patternFill patternType="solid">
        <fgColor rgb="FF6B7280"/>
        <bgColor indexed="64"/>
      </patternFill>
    </fill>
    <fill>
      <patternFill patternType="solid">
        <fgColor rgb="FF3B82F6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FCD34D"/>
        <bgColor indexed="64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164" fontId="5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6" fillId="4" borderId="1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right"/>
    </xf>
    <xf numFmtId="0" fontId="6" fillId="5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66" fontId="0" fillId="0" borderId="1" xfId="0" applyNumberForma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7" fillId="6" borderId="1" xfId="0" applyFont="1" applyFill="1" applyBorder="1" applyAlignment="1">
      <alignment horizontal="center" vertical="center"/>
    </xf>
    <xf numFmtId="167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46"/>
  <sheetViews>
    <sheetView tabSelected="1" workbookViewId="0"/>
  </sheetViews>
  <sheetFormatPr defaultRowHeight="15"/>
  <cols>
    <col min="1" max="1" width="25.7109375" customWidth="1"/>
    <col min="2" max="5" width="15.7109375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2"/>
      <c r="C2" s="2"/>
      <c r="D2" s="2"/>
      <c r="E2" s="2"/>
    </row>
    <row r="4" spans="1:5">
      <c r="A4" s="3" t="s">
        <v>2</v>
      </c>
      <c r="B4" s="3"/>
      <c r="C4" s="3"/>
      <c r="D4" s="3"/>
      <c r="E4" s="3"/>
    </row>
    <row r="5" spans="1:5">
      <c r="A5" s="2" t="s">
        <v>3</v>
      </c>
      <c r="B5" s="2" t="s">
        <v>4</v>
      </c>
      <c r="C5" s="2" t="s">
        <v>5</v>
      </c>
      <c r="D5" s="2" t="s">
        <v>4</v>
      </c>
    </row>
    <row r="6" spans="1:5">
      <c r="A6" s="4" t="s">
        <v>6</v>
      </c>
      <c r="B6" s="5"/>
      <c r="C6" s="4" t="s">
        <v>11</v>
      </c>
      <c r="D6" s="6">
        <v>0</v>
      </c>
    </row>
    <row r="7" spans="1:5">
      <c r="A7" s="4" t="s">
        <v>7</v>
      </c>
      <c r="B7" s="5" t="s">
        <v>8</v>
      </c>
      <c r="C7" s="4" t="s">
        <v>12</v>
      </c>
      <c r="D7" s="7" t="s">
        <v>13</v>
      </c>
    </row>
    <row r="8" spans="1:5">
      <c r="A8" s="4" t="s">
        <v>9</v>
      </c>
      <c r="B8" s="5"/>
      <c r="C8" s="4" t="s">
        <v>14</v>
      </c>
      <c r="D8" s="7">
        <v>1</v>
      </c>
    </row>
    <row r="9" spans="1:5">
      <c r="A9" s="4" t="s">
        <v>10</v>
      </c>
      <c r="B9" s="5"/>
      <c r="C9" s="4" t="s">
        <v>15</v>
      </c>
      <c r="D9" s="7">
        <v>0</v>
      </c>
    </row>
    <row r="11" spans="1:5">
      <c r="A11" s="8" t="s">
        <v>16</v>
      </c>
      <c r="B11" s="8"/>
      <c r="C11" s="8"/>
      <c r="D11" s="8"/>
      <c r="E11" s="8"/>
    </row>
    <row r="12" spans="1:5">
      <c r="A12" s="4" t="s">
        <v>17</v>
      </c>
      <c r="B12" s="6">
        <v>24000</v>
      </c>
    </row>
    <row r="13" spans="1:5">
      <c r="A13" s="4" t="s">
        <v>18</v>
      </c>
      <c r="B13" s="9">
        <v>0.03</v>
      </c>
    </row>
    <row r="14" spans="1:5">
      <c r="A14" s="4" t="s">
        <v>19</v>
      </c>
      <c r="B14" s="9">
        <v>0.05</v>
      </c>
    </row>
    <row r="15" spans="1:5">
      <c r="A15" s="4" t="s">
        <v>20</v>
      </c>
      <c r="B15" s="9">
        <v>0.08</v>
      </c>
    </row>
    <row r="16" spans="1:5">
      <c r="A16" s="4" t="s">
        <v>21</v>
      </c>
      <c r="B16" s="9">
        <v>0.01</v>
      </c>
    </row>
    <row r="17" spans="1:5">
      <c r="A17" s="4" t="s">
        <v>22</v>
      </c>
      <c r="B17" s="9">
        <v>0.01</v>
      </c>
    </row>
    <row r="18" spans="1:5">
      <c r="A18" s="4" t="s">
        <v>23</v>
      </c>
      <c r="B18" s="9">
        <v>0.005</v>
      </c>
    </row>
    <row r="19" spans="1:5">
      <c r="A19" s="4" t="s">
        <v>24</v>
      </c>
      <c r="B19" s="9">
        <v>0.002</v>
      </c>
    </row>
    <row r="20" spans="1:5">
      <c r="A20" s="4" t="s">
        <v>25</v>
      </c>
      <c r="B20" s="9">
        <v>0.003</v>
      </c>
    </row>
    <row r="21" spans="1:5">
      <c r="A21" s="4" t="s">
        <v>26</v>
      </c>
      <c r="B21" s="9">
        <v>0.03</v>
      </c>
    </row>
    <row r="22" spans="1:5">
      <c r="A22" s="4" t="s">
        <v>27</v>
      </c>
      <c r="B22" s="9">
        <v>0.005</v>
      </c>
    </row>
    <row r="23" spans="1:5">
      <c r="A23" s="4" t="s">
        <v>28</v>
      </c>
      <c r="B23" s="9">
        <v>0.025</v>
      </c>
    </row>
    <row r="24" spans="1:5">
      <c r="A24" s="4" t="s">
        <v>29</v>
      </c>
      <c r="B24" s="9">
        <v>0.2</v>
      </c>
    </row>
    <row r="25" spans="1:5">
      <c r="A25" s="4" t="s">
        <v>30</v>
      </c>
      <c r="B25" s="9">
        <v>0.05</v>
      </c>
    </row>
    <row r="26" spans="1:5">
      <c r="A26" s="4" t="s">
        <v>31</v>
      </c>
      <c r="B26" s="7">
        <v>30</v>
      </c>
    </row>
    <row r="27" spans="1:5">
      <c r="A27" s="4" t="s">
        <v>32</v>
      </c>
      <c r="B27" s="9">
        <v>0.03</v>
      </c>
    </row>
    <row r="28" spans="1:5">
      <c r="A28" s="4" t="s">
        <v>33</v>
      </c>
      <c r="B28" s="9">
        <v>0.06</v>
      </c>
    </row>
    <row r="29" spans="1:5">
      <c r="A29" s="4" t="s">
        <v>34</v>
      </c>
      <c r="B29" s="9">
        <v>0.07000000000000001</v>
      </c>
    </row>
    <row r="31" spans="1:5">
      <c r="A31" s="10" t="s">
        <v>35</v>
      </c>
      <c r="B31" s="10"/>
      <c r="C31" s="10"/>
      <c r="D31" s="10"/>
      <c r="E31" s="10"/>
    </row>
    <row r="32" spans="1:5">
      <c r="A32" s="2" t="s">
        <v>36</v>
      </c>
      <c r="B32" s="2" t="s">
        <v>4</v>
      </c>
      <c r="C32" s="2" t="s">
        <v>37</v>
      </c>
      <c r="D32" s="2" t="s">
        <v>38</v>
      </c>
    </row>
    <row r="33" spans="1:5">
      <c r="A33" s="5" t="s">
        <v>39</v>
      </c>
      <c r="B33" s="11">
        <v>0</v>
      </c>
      <c r="C33" s="11">
        <v>0.06</v>
      </c>
      <c r="D33" s="5" t="s">
        <v>40</v>
      </c>
    </row>
    <row r="34" spans="1:5">
      <c r="A34" s="5" t="s">
        <v>41</v>
      </c>
      <c r="B34" s="11">
        <v>0</v>
      </c>
      <c r="C34" s="11">
        <v>0.08</v>
      </c>
      <c r="D34" s="5" t="s">
        <v>40</v>
      </c>
    </row>
    <row r="35" spans="1:5">
      <c r="A35" s="5" t="s">
        <v>42</v>
      </c>
      <c r="B35" s="12">
        <v>0</v>
      </c>
      <c r="C35" s="12">
        <v>300</v>
      </c>
      <c r="D35" s="5" t="s">
        <v>40</v>
      </c>
    </row>
    <row r="36" spans="1:5">
      <c r="A36" s="5" t="s">
        <v>43</v>
      </c>
      <c r="B36" s="11">
        <v>0</v>
      </c>
      <c r="C36" s="11">
        <v>0.008</v>
      </c>
      <c r="D36" s="5" t="s">
        <v>40</v>
      </c>
    </row>
    <row r="38" spans="1:5">
      <c r="A38" s="8" t="s">
        <v>44</v>
      </c>
      <c r="B38" s="8"/>
      <c r="C38" s="8"/>
      <c r="D38" s="8"/>
      <c r="E38" s="8"/>
    </row>
    <row r="39" spans="1:5">
      <c r="A39" s="2" t="s">
        <v>45</v>
      </c>
      <c r="B39" s="2" t="s">
        <v>46</v>
      </c>
      <c r="C39" s="2" t="s">
        <v>47</v>
      </c>
      <c r="D39" s="2" t="s">
        <v>48</v>
      </c>
    </row>
    <row r="40" spans="1:5">
      <c r="A40" s="5" t="s">
        <v>49</v>
      </c>
      <c r="B40" s="12">
        <v>0</v>
      </c>
      <c r="C40" s="12">
        <v>0</v>
      </c>
      <c r="D40" s="12">
        <v>0</v>
      </c>
    </row>
    <row r="41" spans="1:5">
      <c r="A41" s="5" t="s">
        <v>50</v>
      </c>
      <c r="B41" s="12">
        <v>0</v>
      </c>
      <c r="C41" s="12">
        <v>0</v>
      </c>
      <c r="D41" s="12">
        <v>0</v>
      </c>
    </row>
    <row r="42" spans="1:5">
      <c r="A42" s="5" t="s">
        <v>51</v>
      </c>
      <c r="B42" s="12">
        <v>0</v>
      </c>
      <c r="C42" s="12">
        <v>0</v>
      </c>
      <c r="D42" s="12">
        <v>0</v>
      </c>
    </row>
    <row r="43" spans="1:5">
      <c r="A43" s="5" t="s">
        <v>52</v>
      </c>
      <c r="B43" s="12">
        <v>0</v>
      </c>
      <c r="C43" s="12">
        <v>0</v>
      </c>
      <c r="D43" s="12">
        <v>0</v>
      </c>
    </row>
    <row r="44" spans="1:5">
      <c r="A44" s="5" t="s">
        <v>53</v>
      </c>
      <c r="B44" s="12">
        <v>0</v>
      </c>
      <c r="C44" s="12">
        <v>0</v>
      </c>
      <c r="D44" s="12">
        <v>0</v>
      </c>
    </row>
    <row r="46" spans="1:5">
      <c r="A46" s="5" t="s">
        <v>54</v>
      </c>
    </row>
  </sheetData>
  <mergeCells count="6">
    <mergeCell ref="A1:E1"/>
    <mergeCell ref="A2:E2"/>
    <mergeCell ref="A4:E4"/>
    <mergeCell ref="A11:E11"/>
    <mergeCell ref="A31:E31"/>
    <mergeCell ref="A38:E38"/>
  </mergeCells>
  <printOptions horizontalCentered="1"/>
  <pageMargins left="0.5" right="0.5" top="0.75" bottom="0.75" header="0.3" footer="0.3"/>
  <pageSetup fitToHeight="0" orientation="landscape"/>
  <headerFooter>
    <oddHeader>&amp;C&amp;"Arial,Bold"Real Estate Investment Analysis</oddHeader>
    <oddFooter>&amp;L&amp;D &amp;T&amp;C&amp;P&amp;R&amp;F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48"/>
  <sheetViews>
    <sheetView workbookViewId="0"/>
  </sheetViews>
  <sheetFormatPr defaultRowHeight="15"/>
  <cols>
    <col min="1" max="1" width="30.7109375" customWidth="1"/>
    <col min="2" max="6" width="12.7109375" customWidth="1"/>
    <col min="7" max="8" width="15.7109375" customWidth="1"/>
    <col min="11" max="11" width="20.7109375" customWidth="1"/>
    <col min="12" max="12" width="15.7109375" customWidth="1"/>
  </cols>
  <sheetData>
    <row r="1" spans="1:12">
      <c r="A1" s="1" t="s">
        <v>55</v>
      </c>
      <c r="B1" s="1"/>
      <c r="C1" s="1"/>
      <c r="D1" s="1"/>
      <c r="E1" s="1"/>
      <c r="F1" s="1"/>
      <c r="G1" s="1"/>
      <c r="H1" s="1"/>
    </row>
    <row r="2" spans="1:12">
      <c r="A2" s="2" t="s">
        <v>56</v>
      </c>
      <c r="B2" s="2"/>
      <c r="C2" s="2"/>
      <c r="D2" s="2"/>
      <c r="E2" s="2"/>
      <c r="F2" s="2"/>
      <c r="G2" s="2"/>
      <c r="H2" s="2"/>
      <c r="K2" s="3" t="s">
        <v>57</v>
      </c>
      <c r="L2" s="3"/>
    </row>
    <row r="4" spans="1:12">
      <c r="A4" s="2" t="s">
        <v>70</v>
      </c>
      <c r="B4" s="2" t="s">
        <v>71</v>
      </c>
      <c r="C4" s="2" t="s">
        <v>72</v>
      </c>
      <c r="D4" s="2" t="s">
        <v>73</v>
      </c>
      <c r="E4" s="2" t="s">
        <v>74</v>
      </c>
      <c r="F4" s="2" t="s">
        <v>75</v>
      </c>
      <c r="G4" s="2" t="s">
        <v>76</v>
      </c>
      <c r="H4" s="2" t="s">
        <v>77</v>
      </c>
      <c r="K4" s="4" t="s">
        <v>58</v>
      </c>
      <c r="L4" s="6">
        <v>0</v>
      </c>
    </row>
    <row r="5" spans="1:12">
      <c r="A5" s="10" t="s">
        <v>78</v>
      </c>
      <c r="B5" s="10"/>
      <c r="C5" s="10"/>
      <c r="D5" s="10"/>
      <c r="E5" s="10"/>
      <c r="F5" s="10"/>
      <c r="G5" s="10"/>
      <c r="H5" s="10"/>
      <c r="K5" s="4" t="s">
        <v>29</v>
      </c>
      <c r="L5" s="9">
        <v>0.2</v>
      </c>
    </row>
    <row r="6" spans="1:12">
      <c r="A6" s="5" t="s">
        <v>49</v>
      </c>
      <c r="B6" s="12">
        <f>L20*POWER(1+L21,0)</f>
        <v>0</v>
      </c>
      <c r="C6" s="12">
        <f>L20*POWER(1+L21,1)</f>
        <v>0</v>
      </c>
      <c r="D6" s="12">
        <f>L20*POWER(1+L21,2)</f>
        <v>0</v>
      </c>
      <c r="E6" s="12">
        <f>L20*POWER(1+L21,3)</f>
        <v>0</v>
      </c>
      <c r="F6" s="12">
        <f>L20*POWER(1+L21,4)</f>
        <v>0</v>
      </c>
      <c r="G6" s="12">
        <f>B6/L18</f>
        <v>0</v>
      </c>
      <c r="H6" s="13">
        <f>B6/L19</f>
        <v>0</v>
      </c>
      <c r="K6" s="4" t="s">
        <v>59</v>
      </c>
      <c r="L6" s="9">
        <v>0.05</v>
      </c>
    </row>
    <row r="7" spans="1:12">
      <c r="A7" s="5" t="s">
        <v>79</v>
      </c>
      <c r="B7" s="12">
        <f>B6*0.05</f>
        <v>0</v>
      </c>
      <c r="C7" s="12">
        <f>C6*0.05</f>
        <v>0</v>
      </c>
      <c r="D7" s="12">
        <f>D6*0.05</f>
        <v>0</v>
      </c>
      <c r="E7" s="12">
        <f>E6*0.05</f>
        <v>0</v>
      </c>
      <c r="F7" s="12">
        <f>F6*0.05</f>
        <v>0</v>
      </c>
      <c r="G7" s="12">
        <f>B7/L18</f>
        <v>0</v>
      </c>
      <c r="H7" s="13">
        <f>B7/L19</f>
        <v>0</v>
      </c>
      <c r="K7" s="4" t="s">
        <v>31</v>
      </c>
      <c r="L7" s="7">
        <v>30</v>
      </c>
    </row>
    <row r="8" spans="1:12">
      <c r="A8" s="4" t="s">
        <v>80</v>
      </c>
      <c r="B8" s="14">
        <f>SUM(B6:B7)</f>
        <v>0</v>
      </c>
      <c r="C8" s="14">
        <f>SUM(C6:C7)</f>
        <v>0</v>
      </c>
      <c r="D8" s="14">
        <f>SUM(D6:D7)</f>
        <v>0</v>
      </c>
      <c r="E8" s="14">
        <f>SUM(E6:E7)</f>
        <v>0</v>
      </c>
      <c r="F8" s="14">
        <f>SUM(F6:F7)</f>
        <v>0</v>
      </c>
      <c r="G8" s="12">
        <f>B8/L18</f>
        <v>0</v>
      </c>
      <c r="H8" s="13">
        <f>B8/L19</f>
        <v>0</v>
      </c>
      <c r="K8" s="4" t="s">
        <v>32</v>
      </c>
      <c r="L8" s="9">
        <v>0.03</v>
      </c>
    </row>
    <row r="9" spans="1:12">
      <c r="K9" s="4" t="s">
        <v>60</v>
      </c>
      <c r="L9" s="9">
        <v>0.08</v>
      </c>
    </row>
    <row r="10" spans="1:12">
      <c r="A10" s="8" t="s">
        <v>81</v>
      </c>
      <c r="B10" s="8"/>
      <c r="C10" s="8"/>
      <c r="D10" s="8"/>
      <c r="E10" s="8"/>
      <c r="F10" s="8"/>
      <c r="G10" s="8"/>
      <c r="H10" s="8"/>
      <c r="K10" s="4" t="s">
        <v>61</v>
      </c>
      <c r="L10" s="9">
        <v>0.03</v>
      </c>
    </row>
    <row r="11" spans="1:12">
      <c r="A11" s="5" t="s">
        <v>82</v>
      </c>
      <c r="B11" s="12">
        <f>B8*L22</f>
        <v>0</v>
      </c>
      <c r="C11" s="12">
        <f>C8*L22</f>
        <v>0</v>
      </c>
      <c r="D11" s="12">
        <f>D8*L22</f>
        <v>0</v>
      </c>
      <c r="E11" s="12">
        <f>E8*L22</f>
        <v>0</v>
      </c>
      <c r="F11" s="12">
        <f>F8*L22</f>
        <v>0</v>
      </c>
      <c r="G11" s="12">
        <f>B11/L18</f>
        <v>0</v>
      </c>
      <c r="H11" s="13">
        <f>B11/L19</f>
        <v>0</v>
      </c>
      <c r="K11" s="4" t="s">
        <v>62</v>
      </c>
      <c r="L11" s="9">
        <v>0.005</v>
      </c>
    </row>
    <row r="12" spans="1:12">
      <c r="A12" s="4" t="s">
        <v>83</v>
      </c>
      <c r="B12" s="14">
        <f>B8-B11</f>
        <v>0</v>
      </c>
      <c r="C12" s="14">
        <f>C8-C11</f>
        <v>0</v>
      </c>
      <c r="D12" s="14">
        <f>D8-D11</f>
        <v>0</v>
      </c>
      <c r="E12" s="14">
        <f>E8-E11</f>
        <v>0</v>
      </c>
      <c r="F12" s="14">
        <f>F8-F11</f>
        <v>0</v>
      </c>
      <c r="G12" s="12">
        <f>B12/L18</f>
        <v>0</v>
      </c>
      <c r="H12" s="13">
        <f>B12/L19</f>
        <v>0</v>
      </c>
      <c r="K12" s="4" t="s">
        <v>63</v>
      </c>
      <c r="L12" s="9">
        <v>0.01</v>
      </c>
    </row>
    <row r="13" spans="1:12">
      <c r="K13" s="4" t="s">
        <v>64</v>
      </c>
      <c r="L13" s="9">
        <v>0.01</v>
      </c>
    </row>
    <row r="14" spans="1:12">
      <c r="A14" s="5" t="s">
        <v>84</v>
      </c>
      <c r="B14" s="12">
        <f>B12*L9</f>
        <v>0</v>
      </c>
      <c r="C14" s="12">
        <f>C12*L9</f>
        <v>0</v>
      </c>
      <c r="D14" s="12">
        <f>D12*L9</f>
        <v>0</v>
      </c>
      <c r="E14" s="12">
        <f>E12*L9</f>
        <v>0</v>
      </c>
      <c r="F14" s="12">
        <f>F12*L9</f>
        <v>0</v>
      </c>
      <c r="G14" s="12">
        <f>B14/L18</f>
        <v>0</v>
      </c>
      <c r="H14" s="13">
        <f>B14/L19</f>
        <v>0</v>
      </c>
      <c r="K14" s="4" t="s">
        <v>65</v>
      </c>
      <c r="L14" s="9">
        <v>0.005</v>
      </c>
    </row>
    <row r="15" spans="1:12">
      <c r="A15" s="5" t="s">
        <v>85</v>
      </c>
      <c r="B15" s="12">
        <f>L4*L10*POWER(1+L17,0)</f>
        <v>0</v>
      </c>
      <c r="C15" s="12">
        <f>L4*L10*POWER(1+L17,1)</f>
        <v>0</v>
      </c>
      <c r="D15" s="12">
        <f>L4*L10*POWER(1+L17,2)</f>
        <v>0</v>
      </c>
      <c r="E15" s="12">
        <f>L4*L10*POWER(1+L17,3)</f>
        <v>0</v>
      </c>
      <c r="F15" s="12">
        <f>L4*L10*POWER(1+L17,4)</f>
        <v>0</v>
      </c>
      <c r="G15" s="12">
        <f>B15/L18</f>
        <v>0</v>
      </c>
      <c r="H15" s="13">
        <f>B15/L19</f>
        <v>0</v>
      </c>
      <c r="K15" s="4" t="s">
        <v>66</v>
      </c>
      <c r="L15" s="9">
        <v>0.002</v>
      </c>
    </row>
    <row r="16" spans="1:12">
      <c r="A16" s="5" t="s">
        <v>86</v>
      </c>
      <c r="B16" s="12">
        <f>L4*L11*POWER(1+L17,0)</f>
        <v>0</v>
      </c>
      <c r="C16" s="12">
        <f>L4*L11*POWER(1+L17,1)</f>
        <v>0</v>
      </c>
      <c r="D16" s="12">
        <f>L4*L11*POWER(1+L17,2)</f>
        <v>0</v>
      </c>
      <c r="E16" s="12">
        <f>L4*L11*POWER(1+L17,3)</f>
        <v>0</v>
      </c>
      <c r="F16" s="12">
        <f>L4*L11*POWER(1+L17,4)</f>
        <v>0</v>
      </c>
      <c r="G16" s="12">
        <f>B16/L18</f>
        <v>0</v>
      </c>
      <c r="H16" s="13">
        <f>B16/L19</f>
        <v>0</v>
      </c>
      <c r="K16" s="4" t="s">
        <v>67</v>
      </c>
      <c r="L16" s="9">
        <v>0.003</v>
      </c>
    </row>
    <row r="17" spans="1:12">
      <c r="A17" s="5" t="s">
        <v>87</v>
      </c>
      <c r="B17" s="12">
        <f>B12*L12</f>
        <v>0</v>
      </c>
      <c r="C17" s="12">
        <f>C12*L12</f>
        <v>0</v>
      </c>
      <c r="D17" s="12">
        <f>D12*L12</f>
        <v>0</v>
      </c>
      <c r="E17" s="12">
        <f>E12*L12</f>
        <v>0</v>
      </c>
      <c r="F17" s="12">
        <f>F12*L12</f>
        <v>0</v>
      </c>
      <c r="G17" s="12">
        <f>B17/L18</f>
        <v>0</v>
      </c>
      <c r="H17" s="13">
        <f>B17/L19</f>
        <v>0</v>
      </c>
      <c r="K17" s="4" t="s">
        <v>28</v>
      </c>
      <c r="L17" s="9">
        <v>0.025</v>
      </c>
    </row>
    <row r="18" spans="1:12">
      <c r="A18" s="5" t="s">
        <v>88</v>
      </c>
      <c r="B18" s="12">
        <f>B12*L13</f>
        <v>0</v>
      </c>
      <c r="C18" s="12">
        <f>C12*L13</f>
        <v>0</v>
      </c>
      <c r="D18" s="12">
        <f>D12*L13</f>
        <v>0</v>
      </c>
      <c r="E18" s="12">
        <f>E12*L13</f>
        <v>0</v>
      </c>
      <c r="F18" s="12">
        <f>F12*L13</f>
        <v>0</v>
      </c>
      <c r="G18" s="12">
        <f>B18/L18</f>
        <v>0</v>
      </c>
      <c r="H18" s="13">
        <f>B18/L19</f>
        <v>0</v>
      </c>
      <c r="K18" s="4" t="s">
        <v>14</v>
      </c>
      <c r="L18" s="7">
        <v>1</v>
      </c>
    </row>
    <row r="19" spans="1:12">
      <c r="A19" s="5" t="s">
        <v>89</v>
      </c>
      <c r="B19" s="12">
        <f>B12*L14</f>
        <v>0</v>
      </c>
      <c r="C19" s="12">
        <f>C12*L14</f>
        <v>0</v>
      </c>
      <c r="D19" s="12">
        <f>D12*L14</f>
        <v>0</v>
      </c>
      <c r="E19" s="12">
        <f>E12*L14</f>
        <v>0</v>
      </c>
      <c r="F19" s="12">
        <f>F12*L14</f>
        <v>0</v>
      </c>
      <c r="G19" s="12">
        <f>B19/L18</f>
        <v>0</v>
      </c>
      <c r="H19" s="13">
        <f>B19/L19</f>
        <v>0</v>
      </c>
      <c r="K19" s="4" t="s">
        <v>68</v>
      </c>
      <c r="L19" s="7">
        <v>0</v>
      </c>
    </row>
    <row r="20" spans="1:12">
      <c r="A20" s="5" t="s">
        <v>90</v>
      </c>
      <c r="B20" s="12">
        <f>B12*L15</f>
        <v>0</v>
      </c>
      <c r="C20" s="12">
        <f>C12*L15</f>
        <v>0</v>
      </c>
      <c r="D20" s="12">
        <f>D12*L15</f>
        <v>0</v>
      </c>
      <c r="E20" s="12">
        <f>E12*L15</f>
        <v>0</v>
      </c>
      <c r="F20" s="12">
        <f>F12*L15</f>
        <v>0</v>
      </c>
      <c r="G20" s="12">
        <f>B20/L18</f>
        <v>0</v>
      </c>
      <c r="H20" s="13">
        <f>B20/L19</f>
        <v>0</v>
      </c>
      <c r="K20" s="4" t="s">
        <v>17</v>
      </c>
      <c r="L20" s="6">
        <v>0</v>
      </c>
    </row>
    <row r="21" spans="1:12">
      <c r="A21" s="5" t="s">
        <v>91</v>
      </c>
      <c r="B21" s="12">
        <f>B12*L16</f>
        <v>0</v>
      </c>
      <c r="C21" s="12">
        <f>C12*L16</f>
        <v>0</v>
      </c>
      <c r="D21" s="12">
        <f>D12*L16</f>
        <v>0</v>
      </c>
      <c r="E21" s="12">
        <f>E12*L16</f>
        <v>0</v>
      </c>
      <c r="F21" s="12">
        <f>F12*L16</f>
        <v>0</v>
      </c>
      <c r="G21" s="12">
        <f>B21/L18</f>
        <v>0</v>
      </c>
      <c r="H21" s="13">
        <f>B21/L19</f>
        <v>0</v>
      </c>
      <c r="K21" s="4" t="s">
        <v>18</v>
      </c>
      <c r="L21" s="9">
        <v>0.03</v>
      </c>
    </row>
    <row r="22" spans="1:12">
      <c r="A22" s="4" t="s">
        <v>92</v>
      </c>
      <c r="B22" s="14">
        <f>SUM(B14:B21)</f>
        <v>0</v>
      </c>
      <c r="C22" s="14">
        <f>SUM(C14:C21)</f>
        <v>0</v>
      </c>
      <c r="D22" s="14">
        <f>SUM(D14:D21)</f>
        <v>0</v>
      </c>
      <c r="E22" s="14">
        <f>SUM(E14:E21)</f>
        <v>0</v>
      </c>
      <c r="F22" s="14">
        <f>SUM(F14:F21)</f>
        <v>0</v>
      </c>
      <c r="G22" s="12">
        <f>B22/L18</f>
        <v>0</v>
      </c>
      <c r="H22" s="13">
        <f>B22/L19</f>
        <v>0</v>
      </c>
      <c r="K22" s="4" t="s">
        <v>19</v>
      </c>
      <c r="L22" s="9">
        <v>0.05</v>
      </c>
    </row>
    <row r="23" spans="1:12">
      <c r="K23" s="4" t="s">
        <v>69</v>
      </c>
      <c r="L23" s="9">
        <v>0.7</v>
      </c>
    </row>
    <row r="24" spans="1:12">
      <c r="A24" s="10" t="s">
        <v>93</v>
      </c>
      <c r="B24" s="10"/>
      <c r="C24" s="10"/>
      <c r="D24" s="10"/>
      <c r="E24" s="10"/>
      <c r="F24" s="10"/>
      <c r="G24" s="10"/>
      <c r="H24" s="10"/>
      <c r="K24" s="4" t="s">
        <v>33</v>
      </c>
      <c r="L24" s="9">
        <v>0.06</v>
      </c>
    </row>
    <row r="25" spans="1:12">
      <c r="A25" s="4" t="s">
        <v>94</v>
      </c>
      <c r="B25" s="14">
        <f>B12-B22</f>
        <v>0</v>
      </c>
      <c r="C25" s="14">
        <f>C12-C22</f>
        <v>0</v>
      </c>
      <c r="D25" s="14">
        <f>D12-D22</f>
        <v>0</v>
      </c>
      <c r="E25" s="14">
        <f>E12-E22</f>
        <v>0</v>
      </c>
      <c r="F25" s="14">
        <f>F12-F22</f>
        <v>0</v>
      </c>
      <c r="G25" s="12">
        <f>B25/L18</f>
        <v>0</v>
      </c>
      <c r="H25" s="13">
        <f>B25/L19</f>
        <v>0</v>
      </c>
      <c r="K25" s="4" t="s">
        <v>34</v>
      </c>
      <c r="L25" s="9">
        <v>0.07000000000000001</v>
      </c>
    </row>
    <row r="27" spans="1:12">
      <c r="A27" s="8" t="s">
        <v>95</v>
      </c>
      <c r="B27" s="8"/>
      <c r="C27" s="8"/>
      <c r="D27" s="8"/>
      <c r="E27" s="8"/>
      <c r="F27" s="8"/>
      <c r="G27" s="8"/>
      <c r="H27" s="8"/>
    </row>
    <row r="28" spans="1:12">
      <c r="A28" s="5" t="s">
        <v>96</v>
      </c>
      <c r="B28" s="12">
        <f>(L4*(1-L5))*L6*1.1</f>
        <v>0</v>
      </c>
      <c r="C28" s="12">
        <f>(L4*(1-L5))*L6*1.1</f>
        <v>0</v>
      </c>
      <c r="D28" s="12">
        <f>(L4*(1-L5))*L6*1.1</f>
        <v>0</v>
      </c>
      <c r="E28" s="12">
        <f>(L4*(1-L5))*L6*1.1</f>
        <v>0</v>
      </c>
      <c r="F28" s="12">
        <f>(L4*(1-L5))*L6*1.1</f>
        <v>0</v>
      </c>
      <c r="G28" s="12">
        <f>B28/L18</f>
        <v>0</v>
      </c>
      <c r="H28" s="13">
        <f>B28/L19</f>
        <v>0</v>
      </c>
    </row>
    <row r="30" spans="1:12">
      <c r="A30" s="15" t="s">
        <v>97</v>
      </c>
      <c r="B30" s="15"/>
      <c r="C30" s="15"/>
      <c r="D30" s="15"/>
      <c r="E30" s="15"/>
      <c r="F30" s="15"/>
      <c r="G30" s="15"/>
      <c r="H30" s="15"/>
    </row>
    <row r="31" spans="1:12">
      <c r="A31" s="4" t="s">
        <v>98</v>
      </c>
      <c r="B31" s="14">
        <f>B25-B28</f>
        <v>0</v>
      </c>
      <c r="C31" s="14">
        <f>C25-C28</f>
        <v>0</v>
      </c>
      <c r="D31" s="14">
        <f>D25-D28</f>
        <v>0</v>
      </c>
      <c r="E31" s="14">
        <f>E25-E28</f>
        <v>0</v>
      </c>
      <c r="F31" s="14">
        <f>F25-F28</f>
        <v>0</v>
      </c>
      <c r="G31" s="12">
        <f>B31/L18</f>
        <v>0</v>
      </c>
      <c r="H31" s="13">
        <f>B31/L19</f>
        <v>0</v>
      </c>
    </row>
    <row r="33" spans="1:8">
      <c r="A33" s="3" t="s">
        <v>99</v>
      </c>
      <c r="B33" s="3"/>
      <c r="C33" s="3"/>
      <c r="D33" s="3"/>
      <c r="E33" s="3"/>
      <c r="F33" s="3"/>
      <c r="G33" s="3"/>
      <c r="H33" s="3"/>
    </row>
    <row r="34" spans="1:8">
      <c r="A34" s="5" t="s">
        <v>100</v>
      </c>
      <c r="B34" s="12">
        <f>-(L4*L5+L4*L8)</f>
        <v>0</v>
      </c>
      <c r="C34" s="12">
        <v>0</v>
      </c>
      <c r="D34" s="12">
        <v>0</v>
      </c>
      <c r="E34" s="12">
        <v>0</v>
      </c>
      <c r="F34" s="12">
        <v>0</v>
      </c>
    </row>
    <row r="35" spans="1:8">
      <c r="A35" s="4" t="s">
        <v>101</v>
      </c>
    </row>
    <row r="36" spans="1:8">
      <c r="A36" s="5" t="s">
        <v>102</v>
      </c>
      <c r="B36" s="12">
        <v>0</v>
      </c>
      <c r="C36" s="12">
        <v>0</v>
      </c>
      <c r="D36" s="12">
        <v>0</v>
      </c>
      <c r="E36" s="12">
        <v>0</v>
      </c>
      <c r="F36" s="12">
        <f>F25/L24</f>
        <v>0</v>
      </c>
    </row>
    <row r="37" spans="1:8">
      <c r="A37" s="5" t="s">
        <v>103</v>
      </c>
      <c r="B37" s="12">
        <v>0</v>
      </c>
      <c r="C37" s="12">
        <v>0</v>
      </c>
      <c r="D37" s="12">
        <v>0</v>
      </c>
      <c r="E37" s="12">
        <v>0</v>
      </c>
      <c r="F37" s="12">
        <f>F36*L25</f>
        <v>0</v>
      </c>
    </row>
    <row r="38" spans="1:8">
      <c r="A38" s="5" t="s">
        <v>104</v>
      </c>
      <c r="B38" s="12">
        <v>0</v>
      </c>
      <c r="C38" s="12">
        <v>0</v>
      </c>
      <c r="D38" s="12">
        <v>0</v>
      </c>
      <c r="E38" s="12">
        <v>0</v>
      </c>
      <c r="F38" s="12">
        <f>(L4*(1-L5))*0.85</f>
        <v>0</v>
      </c>
    </row>
    <row r="39" spans="1:8">
      <c r="A39" s="4" t="s">
        <v>105</v>
      </c>
      <c r="B39" s="12">
        <v>0</v>
      </c>
      <c r="C39" s="12">
        <v>0</v>
      </c>
      <c r="D39" s="12">
        <v>0</v>
      </c>
      <c r="E39" s="12">
        <v>0</v>
      </c>
      <c r="F39" s="14">
        <f>F36-F37-F38</f>
        <v>0</v>
      </c>
    </row>
    <row r="41" spans="1:8">
      <c r="A41" s="15" t="s">
        <v>106</v>
      </c>
      <c r="B41" s="15"/>
      <c r="C41" s="15"/>
      <c r="D41" s="15"/>
      <c r="E41" s="15"/>
      <c r="F41" s="15"/>
      <c r="G41" s="15"/>
      <c r="H41" s="15"/>
    </row>
    <row r="42" spans="1:8">
      <c r="A42" s="4" t="s">
        <v>100</v>
      </c>
      <c r="B42" s="14">
        <f>B34</f>
        <v>0</v>
      </c>
      <c r="C42" s="12">
        <v>0</v>
      </c>
      <c r="D42" s="12">
        <v>0</v>
      </c>
      <c r="E42" s="12">
        <v>0</v>
      </c>
      <c r="F42" s="12">
        <v>0</v>
      </c>
    </row>
    <row r="43" spans="1:8">
      <c r="A43" s="4" t="s">
        <v>107</v>
      </c>
      <c r="B43" s="14">
        <f>B42+B31</f>
        <v>0</v>
      </c>
      <c r="C43" s="14">
        <f>C31</f>
        <v>0</v>
      </c>
      <c r="D43" s="14">
        <f>D31</f>
        <v>0</v>
      </c>
      <c r="E43" s="14">
        <f>E31</f>
        <v>0</v>
      </c>
      <c r="F43" s="14">
        <f>F31+F39</f>
        <v>0</v>
      </c>
    </row>
    <row r="45" spans="1:8">
      <c r="A45" s="4" t="s">
        <v>108</v>
      </c>
    </row>
    <row r="46" spans="1:8">
      <c r="A46" s="5" t="s">
        <v>109</v>
      </c>
      <c r="B46" s="11">
        <f>IRR(B43:F43)</f>
        <v>0</v>
      </c>
    </row>
    <row r="47" spans="1:8">
      <c r="A47" s="5" t="s">
        <v>110</v>
      </c>
      <c r="B47" s="16">
        <f>SUM(C43:F43)/ABS(B43)</f>
        <v>0</v>
      </c>
    </row>
    <row r="48" spans="1:8">
      <c r="A48" s="5" t="s">
        <v>111</v>
      </c>
      <c r="B48" s="11">
        <f>(SUM(B43:F43)/ABS(B43)-1)*100</f>
        <v>0</v>
      </c>
    </row>
  </sheetData>
  <mergeCells count="10">
    <mergeCell ref="A1:H1"/>
    <mergeCell ref="A2:H2"/>
    <mergeCell ref="K2:L2"/>
    <mergeCell ref="A5:H5"/>
    <mergeCell ref="A10:H10"/>
    <mergeCell ref="A24:H24"/>
    <mergeCell ref="A27:H27"/>
    <mergeCell ref="A30:H30"/>
    <mergeCell ref="A33:H33"/>
    <mergeCell ref="A41:H41"/>
  </mergeCells>
  <printOptions horizontalCentered="1"/>
  <pageMargins left="0.5" right="0.5" top="0.75" bottom="0.75" header="0.3" footer="0.3"/>
  <pageSetup fitToHeight="0" orientation="landscape"/>
  <headerFooter>
    <oddHeader>&amp;C&amp;"Arial,Bold"Real Estate Investment Analysis</oddHeader>
    <oddFooter>&amp;L&amp;D &amp;T&amp;C&amp;P&amp;R&amp;F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9"/>
  <sheetViews>
    <sheetView workbookViewId="0"/>
  </sheetViews>
  <sheetFormatPr defaultRowHeight="15"/>
  <cols>
    <col min="1" max="1" width="30.7109375" customWidth="1"/>
    <col min="2" max="2" width="15.7109375" customWidth="1"/>
    <col min="3" max="3" width="20.7109375" customWidth="1"/>
  </cols>
  <sheetData>
    <row r="1" spans="1:3">
      <c r="A1" s="1" t="s">
        <v>112</v>
      </c>
      <c r="B1" s="1"/>
      <c r="C1" s="1"/>
    </row>
    <row r="3" spans="1:3">
      <c r="A3" s="3" t="s">
        <v>113</v>
      </c>
      <c r="B3" s="3"/>
      <c r="C3" s="3"/>
    </row>
    <row r="4" spans="1:3">
      <c r="A4" s="2" t="s">
        <v>114</v>
      </c>
      <c r="B4" s="2" t="s">
        <v>4</v>
      </c>
      <c r="C4" s="2" t="s">
        <v>115</v>
      </c>
    </row>
    <row r="5" spans="1:3">
      <c r="A5" s="5" t="s">
        <v>58</v>
      </c>
      <c r="B5" s="12">
        <v>0</v>
      </c>
      <c r="C5" s="17" t="s">
        <v>116</v>
      </c>
    </row>
    <row r="6" spans="1:3">
      <c r="A6" s="5" t="s">
        <v>117</v>
      </c>
      <c r="B6" s="16">
        <v>0</v>
      </c>
      <c r="C6" s="17" t="s">
        <v>118</v>
      </c>
    </row>
    <row r="7" spans="1:3">
      <c r="A7" s="5" t="s">
        <v>119</v>
      </c>
      <c r="B7" s="16">
        <v>0</v>
      </c>
      <c r="C7" s="17" t="s">
        <v>120</v>
      </c>
    </row>
    <row r="8" spans="1:3">
      <c r="A8" s="5" t="s">
        <v>121</v>
      </c>
      <c r="B8" s="16">
        <v>0</v>
      </c>
      <c r="C8" s="17" t="s">
        <v>122</v>
      </c>
    </row>
    <row r="9" spans="1:3">
      <c r="A9" s="5" t="s">
        <v>7</v>
      </c>
      <c r="B9" s="5" t="s">
        <v>8</v>
      </c>
      <c r="C9" s="17" t="s">
        <v>123</v>
      </c>
    </row>
    <row r="11" spans="1:3">
      <c r="A11" s="8" t="s">
        <v>16</v>
      </c>
      <c r="B11" s="8"/>
      <c r="C11" s="8"/>
    </row>
    <row r="12" spans="1:3">
      <c r="A12" s="2" t="s">
        <v>114</v>
      </c>
      <c r="B12" s="2" t="s">
        <v>4</v>
      </c>
      <c r="C12" s="2" t="s">
        <v>115</v>
      </c>
    </row>
    <row r="13" spans="1:3">
      <c r="A13" s="5" t="s">
        <v>29</v>
      </c>
      <c r="B13" s="11">
        <v>0.2</v>
      </c>
      <c r="C13" s="17" t="s">
        <v>124</v>
      </c>
    </row>
    <row r="14" spans="1:3">
      <c r="A14" s="5" t="s">
        <v>59</v>
      </c>
      <c r="B14" s="11">
        <v>0.05</v>
      </c>
      <c r="C14" s="17" t="s">
        <v>125</v>
      </c>
    </row>
    <row r="15" spans="1:3">
      <c r="A15" s="5" t="s">
        <v>31</v>
      </c>
      <c r="B15" s="16">
        <v>30</v>
      </c>
      <c r="C15" s="17" t="s">
        <v>126</v>
      </c>
    </row>
    <row r="16" spans="1:3">
      <c r="A16" s="5" t="s">
        <v>26</v>
      </c>
      <c r="B16" s="11">
        <v>0.03</v>
      </c>
      <c r="C16" s="17" t="s">
        <v>127</v>
      </c>
    </row>
    <row r="17" spans="1:3">
      <c r="A17" s="5" t="s">
        <v>27</v>
      </c>
      <c r="B17" s="11">
        <v>0.005</v>
      </c>
      <c r="C17" s="17" t="s">
        <v>128</v>
      </c>
    </row>
    <row r="18" spans="1:3">
      <c r="A18" s="5" t="s">
        <v>129</v>
      </c>
      <c r="B18" s="11">
        <v>0.01</v>
      </c>
      <c r="C18" s="17" t="s">
        <v>130</v>
      </c>
    </row>
    <row r="19" spans="1:3">
      <c r="A19" s="5" t="s">
        <v>131</v>
      </c>
      <c r="B19" s="11">
        <v>0.01</v>
      </c>
      <c r="C19" s="17" t="s">
        <v>132</v>
      </c>
    </row>
    <row r="20" spans="1:3">
      <c r="A20" s="5" t="s">
        <v>19</v>
      </c>
      <c r="B20" s="11">
        <v>0.05</v>
      </c>
      <c r="C20" s="17" t="s">
        <v>133</v>
      </c>
    </row>
    <row r="21" spans="1:3">
      <c r="A21" s="5" t="s">
        <v>32</v>
      </c>
      <c r="B21" s="11">
        <v>0.03</v>
      </c>
      <c r="C21" s="17" t="s">
        <v>134</v>
      </c>
    </row>
    <row r="23" spans="1:3">
      <c r="A23" s="10" t="s">
        <v>135</v>
      </c>
      <c r="B23" s="10"/>
      <c r="C23" s="10"/>
    </row>
    <row r="24" spans="1:3">
      <c r="A24" s="2" t="s">
        <v>114</v>
      </c>
      <c r="B24" s="2" t="s">
        <v>4</v>
      </c>
      <c r="C24" s="2" t="s">
        <v>115</v>
      </c>
    </row>
    <row r="25" spans="1:3">
      <c r="A25" s="5" t="s">
        <v>136</v>
      </c>
      <c r="B25" s="11">
        <v>0.03</v>
      </c>
      <c r="C25" s="17" t="s">
        <v>137</v>
      </c>
    </row>
    <row r="26" spans="1:3">
      <c r="A26" s="5" t="s">
        <v>138</v>
      </c>
      <c r="B26" s="11">
        <v>0.03</v>
      </c>
      <c r="C26" s="17" t="s">
        <v>139</v>
      </c>
    </row>
    <row r="27" spans="1:3">
      <c r="A27" s="5" t="s">
        <v>28</v>
      </c>
      <c r="B27" s="11">
        <v>0.025</v>
      </c>
      <c r="C27" s="17" t="s">
        <v>140</v>
      </c>
    </row>
    <row r="28" spans="1:3">
      <c r="A28" s="5" t="s">
        <v>141</v>
      </c>
      <c r="B28" s="11">
        <v>0.08</v>
      </c>
      <c r="C28" s="17" t="s">
        <v>142</v>
      </c>
    </row>
    <row r="29" spans="1:3">
      <c r="A29" s="5" t="s">
        <v>103</v>
      </c>
      <c r="B29" s="11">
        <v>0.06</v>
      </c>
      <c r="C29" s="17" t="s">
        <v>143</v>
      </c>
    </row>
  </sheetData>
  <mergeCells count="4">
    <mergeCell ref="A1:C1"/>
    <mergeCell ref="A3:C3"/>
    <mergeCell ref="A11:C11"/>
    <mergeCell ref="A23:C23"/>
  </mergeCells>
  <printOptions horizontalCentered="1"/>
  <pageMargins left="0.5" right="0.5" top="0.75" bottom="0.75" header="0.3" footer="0.3"/>
  <pageSetup fitToHeight="0" orientation="landscape"/>
  <headerFooter>
    <oddHeader>&amp;C&amp;"Arial,Bold"Real Estate Investment Analysis</oddHeader>
    <oddFooter>&amp;L&amp;D &amp;T&amp;C&amp;P&amp;R&amp;F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20"/>
  <sheetViews>
    <sheetView workbookViewId="0"/>
  </sheetViews>
  <sheetFormatPr defaultRowHeight="15"/>
  <cols>
    <col min="1" max="1" width="20.7109375" customWidth="1"/>
    <col min="2" max="8" width="12.7109375" customWidth="1"/>
    <col min="11" max="11" width="20.7109375" customWidth="1"/>
    <col min="12" max="12" width="15.7109375" customWidth="1"/>
  </cols>
  <sheetData>
    <row r="1" spans="1:12">
      <c r="A1" s="1" t="s">
        <v>144</v>
      </c>
      <c r="B1" s="1"/>
      <c r="C1" s="1"/>
      <c r="D1" s="1"/>
      <c r="E1" s="1"/>
      <c r="F1" s="1"/>
      <c r="G1" s="1"/>
      <c r="H1" s="1"/>
    </row>
    <row r="2" spans="1:12">
      <c r="K2" s="3" t="s">
        <v>145</v>
      </c>
      <c r="L2" s="3"/>
    </row>
    <row r="3" spans="1:12">
      <c r="A3" s="10" t="s">
        <v>146</v>
      </c>
      <c r="B3" s="10"/>
      <c r="C3" s="10"/>
      <c r="D3" s="10"/>
      <c r="E3" s="10"/>
      <c r="F3" s="10"/>
      <c r="G3" s="10"/>
      <c r="H3" s="10"/>
    </row>
    <row r="4" spans="1:12">
      <c r="A4" s="2" t="s">
        <v>58</v>
      </c>
      <c r="B4" s="2" t="s">
        <v>147</v>
      </c>
      <c r="C4" s="2" t="s">
        <v>148</v>
      </c>
      <c r="D4" s="2" t="s">
        <v>149</v>
      </c>
      <c r="E4" s="2" t="s">
        <v>150</v>
      </c>
      <c r="F4" s="2" t="s">
        <v>151</v>
      </c>
      <c r="G4" s="2" t="s">
        <v>152</v>
      </c>
      <c r="H4" s="2" t="s">
        <v>153</v>
      </c>
      <c r="K4" s="4" t="s">
        <v>58</v>
      </c>
      <c r="L4" s="6">
        <v>0</v>
      </c>
    </row>
    <row r="5" spans="1:12">
      <c r="A5" s="5" t="s">
        <v>154</v>
      </c>
      <c r="B5" s="11">
        <f>((L5*(1+-10/100)*L6))/(((L4*(1+-10/100))))</f>
        <v>0</v>
      </c>
      <c r="C5" s="11">
        <f>((L5*(1+-5/100)*L6))/(((L4*(1+-10/100))))</f>
        <v>0</v>
      </c>
      <c r="D5" s="11">
        <f>((L5*(1+0/100)*L6))/(((L4*(1+-10/100))))</f>
        <v>0</v>
      </c>
      <c r="E5" s="11">
        <f>((L5*(1+5/100)*L6))/(((L4*(1+-10/100))))</f>
        <v>0</v>
      </c>
      <c r="F5" s="11">
        <f>((L5*(1+10/100)*L6))/(((L4*(1+-10/100))))</f>
        <v>0</v>
      </c>
      <c r="G5" s="11">
        <f>((L5*(1+15/100)*L6))/(((L4*(1+-10/100))))</f>
        <v>0</v>
      </c>
      <c r="H5" s="11">
        <f>((L5*(1+20/100)*L6))/(((L4*(1+-10/100))))</f>
        <v>0</v>
      </c>
      <c r="K5" s="4" t="s">
        <v>17</v>
      </c>
      <c r="L5" s="6">
        <v>0</v>
      </c>
    </row>
    <row r="6" spans="1:12">
      <c r="A6" s="5" t="s">
        <v>155</v>
      </c>
      <c r="B6" s="11">
        <f>((L5*(1+-10/100)*L6))/(((L4*(1+-5/100))))</f>
        <v>0</v>
      </c>
      <c r="C6" s="11">
        <f>((L5*(1+-5/100)*L6))/(((L4*(1+-5/100))))</f>
        <v>0</v>
      </c>
      <c r="D6" s="11">
        <f>((L5*(1+0/100)*L6))/(((L4*(1+-5/100))))</f>
        <v>0</v>
      </c>
      <c r="E6" s="11">
        <f>((L5*(1+5/100)*L6))/(((L4*(1+-5/100))))</f>
        <v>0</v>
      </c>
      <c r="F6" s="11">
        <f>((L5*(1+10/100)*L6))/(((L4*(1+-5/100))))</f>
        <v>0</v>
      </c>
      <c r="G6" s="11">
        <f>((L5*(1+15/100)*L6))/(((L4*(1+-5/100))))</f>
        <v>0</v>
      </c>
      <c r="H6" s="11">
        <f>((L5*(1+20/100)*L6))/(((L4*(1+-5/100))))</f>
        <v>0</v>
      </c>
      <c r="K6" s="4" t="s">
        <v>69</v>
      </c>
      <c r="L6" s="9">
        <v>0.7</v>
      </c>
    </row>
    <row r="7" spans="1:12">
      <c r="A7" s="5" t="s">
        <v>156</v>
      </c>
      <c r="B7" s="11">
        <f>((L5*(1+-10/100)*L6))/(((L4*(1+0/100))))</f>
        <v>0</v>
      </c>
      <c r="C7" s="11">
        <f>((L5*(1+-5/100)*L6))/(((L4*(1+0/100))))</f>
        <v>0</v>
      </c>
      <c r="D7" s="11">
        <f>((L5*(1+0/100)*L6))/(((L4*(1+0/100))))</f>
        <v>0</v>
      </c>
      <c r="E7" s="11">
        <f>((L5*(1+5/100)*L6))/(((L4*(1+0/100))))</f>
        <v>0</v>
      </c>
      <c r="F7" s="11">
        <f>((L5*(1+10/100)*L6))/(((L4*(1+0/100))))</f>
        <v>0</v>
      </c>
      <c r="G7" s="11">
        <f>((L5*(1+15/100)*L6))/(((L4*(1+0/100))))</f>
        <v>0</v>
      </c>
      <c r="H7" s="11">
        <f>((L5*(1+20/100)*L6))/(((L4*(1+0/100))))</f>
        <v>0</v>
      </c>
      <c r="K7" s="4" t="s">
        <v>29</v>
      </c>
      <c r="L7" s="9">
        <v>0.2</v>
      </c>
    </row>
    <row r="8" spans="1:12">
      <c r="A8" s="5" t="s">
        <v>157</v>
      </c>
      <c r="B8" s="11">
        <f>((L5*(1+-10/100)*L6))/(((L4*(1+5/100))))</f>
        <v>0</v>
      </c>
      <c r="C8" s="11">
        <f>((L5*(1+-5/100)*L6))/(((L4*(1+5/100))))</f>
        <v>0</v>
      </c>
      <c r="D8" s="11">
        <f>((L5*(1+0/100)*L6))/(((L4*(1+5/100))))</f>
        <v>0</v>
      </c>
      <c r="E8" s="11">
        <f>((L5*(1+5/100)*L6))/(((L4*(1+5/100))))</f>
        <v>0</v>
      </c>
      <c r="F8" s="11">
        <f>((L5*(1+10/100)*L6))/(((L4*(1+5/100))))</f>
        <v>0</v>
      </c>
      <c r="G8" s="11">
        <f>((L5*(1+15/100)*L6))/(((L4*(1+5/100))))</f>
        <v>0</v>
      </c>
      <c r="H8" s="11">
        <f>((L5*(1+20/100)*L6))/(((L4*(1+5/100))))</f>
        <v>0</v>
      </c>
      <c r="K8" s="4" t="s">
        <v>32</v>
      </c>
      <c r="L8" s="9">
        <v>0.03</v>
      </c>
    </row>
    <row r="9" spans="1:12">
      <c r="A9" s="5" t="s">
        <v>158</v>
      </c>
      <c r="B9" s="11">
        <f>((L5*(1+-10/100)*L6))/(((L4*(1+10/100))))</f>
        <v>0</v>
      </c>
      <c r="C9" s="11">
        <f>((L5*(1+-5/100)*L6))/(((L4*(1+10/100))))</f>
        <v>0</v>
      </c>
      <c r="D9" s="11">
        <f>((L5*(1+0/100)*L6))/(((L4*(1+10/100))))</f>
        <v>0</v>
      </c>
      <c r="E9" s="11">
        <f>((L5*(1+5/100)*L6))/(((L4*(1+10/100))))</f>
        <v>0</v>
      </c>
      <c r="F9" s="11">
        <f>((L5*(1+10/100)*L6))/(((L4*(1+10/100))))</f>
        <v>0</v>
      </c>
      <c r="G9" s="11">
        <f>((L5*(1+15/100)*L6))/(((L4*(1+10/100))))</f>
        <v>0</v>
      </c>
      <c r="H9" s="11">
        <f>((L5*(1+20/100)*L6))/(((L4*(1+10/100))))</f>
        <v>0</v>
      </c>
      <c r="K9" s="4" t="s">
        <v>31</v>
      </c>
      <c r="L9" s="7">
        <v>30</v>
      </c>
    </row>
    <row r="12" spans="1:12">
      <c r="A12" s="8" t="s">
        <v>159</v>
      </c>
      <c r="B12" s="8"/>
      <c r="C12" s="8"/>
      <c r="D12" s="8"/>
      <c r="E12" s="8"/>
      <c r="F12" s="8"/>
      <c r="G12" s="8"/>
      <c r="H12" s="8"/>
    </row>
    <row r="13" spans="1:12">
      <c r="A13" s="2" t="s">
        <v>59</v>
      </c>
      <c r="B13" s="2" t="s">
        <v>147</v>
      </c>
      <c r="C13" s="2" t="s">
        <v>148</v>
      </c>
      <c r="D13" s="2" t="s">
        <v>149</v>
      </c>
      <c r="E13" s="2" t="s">
        <v>150</v>
      </c>
      <c r="F13" s="2" t="s">
        <v>151</v>
      </c>
      <c r="G13" s="2" t="s">
        <v>152</v>
      </c>
      <c r="H13" s="2" t="s">
        <v>153</v>
      </c>
    </row>
    <row r="14" spans="1:12">
      <c r="A14" s="5" t="s">
        <v>160</v>
      </c>
      <c r="B14" s="11">
        <f>(((L5*(1+-10/100)*L6))-PMT(0.002916666666666667,(L9*12),-((L4*(1-L7))))*12)/((L4*(L7+L8)))</f>
        <v>0</v>
      </c>
      <c r="C14" s="11">
        <f>(((L5*(1+-5/100)*L6))-PMT(0.002916666666666667,(L9*12),-((L4*(1-L7))))*12)/((L4*(L7+L8)))</f>
        <v>0</v>
      </c>
      <c r="D14" s="11">
        <f>(((L5*(1+0/100)*L6))-PMT(0.002916666666666667,(L9*12),-((L4*(1-L7))))*12)/((L4*(L7+L8)))</f>
        <v>0</v>
      </c>
      <c r="E14" s="11">
        <f>(((L5*(1+5/100)*L6))-PMT(0.002916666666666667,(L9*12),-((L4*(1-L7))))*12)/((L4*(L7+L8)))</f>
        <v>0</v>
      </c>
      <c r="F14" s="11">
        <f>(((L5*(1+10/100)*L6))-PMT(0.002916666666666667,(L9*12),-((L4*(1-L7))))*12)/((L4*(L7+L8)))</f>
        <v>0</v>
      </c>
      <c r="G14" s="11">
        <f>(((L5*(1+15/100)*L6))-PMT(0.002916666666666667,(L9*12),-((L4*(1-L7))))*12)/((L4*(L7+L8)))</f>
        <v>0</v>
      </c>
      <c r="H14" s="11">
        <f>(((L5*(1+20/100)*L6))-PMT(0.002916666666666667,(L9*12),-((L4*(1-L7))))*12)/((L4*(L7+L8)))</f>
        <v>0</v>
      </c>
    </row>
    <row r="15" spans="1:12">
      <c r="A15" s="5" t="s">
        <v>161</v>
      </c>
      <c r="B15" s="11">
        <f>(((L5*(1+-10/100)*L6))-PMT(0.0033333333333333335,(L9*12),-((L4*(1-L7))))*12)/((L4*(L7+L8)))</f>
        <v>0</v>
      </c>
      <c r="C15" s="11">
        <f>(((L5*(1+-5/100)*L6))-PMT(0.0033333333333333335,(L9*12),-((L4*(1-L7))))*12)/((L4*(L7+L8)))</f>
        <v>0</v>
      </c>
      <c r="D15" s="11">
        <f>(((L5*(1+0/100)*L6))-PMT(0.0033333333333333335,(L9*12),-((L4*(1-L7))))*12)/((L4*(L7+L8)))</f>
        <v>0</v>
      </c>
      <c r="E15" s="11">
        <f>(((L5*(1+5/100)*L6))-PMT(0.0033333333333333335,(L9*12),-((L4*(1-L7))))*12)/((L4*(L7+L8)))</f>
        <v>0</v>
      </c>
      <c r="F15" s="11">
        <f>(((L5*(1+10/100)*L6))-PMT(0.0033333333333333335,(L9*12),-((L4*(1-L7))))*12)/((L4*(L7+L8)))</f>
        <v>0</v>
      </c>
      <c r="G15" s="11">
        <f>(((L5*(1+15/100)*L6))-PMT(0.0033333333333333335,(L9*12),-((L4*(1-L7))))*12)/((L4*(L7+L8)))</f>
        <v>0</v>
      </c>
      <c r="H15" s="11">
        <f>(((L5*(1+20/100)*L6))-PMT(0.0033333333333333335,(L9*12),-((L4*(1-L7))))*12)/((L4*(L7+L8)))</f>
        <v>0</v>
      </c>
    </row>
    <row r="16" spans="1:12">
      <c r="A16" s="5" t="s">
        <v>162</v>
      </c>
      <c r="B16" s="11">
        <f>(((L5*(1+-10/100)*L6))-PMT(0.00375,(L9*12),-((L4*(1-L7))))*12)/((L4*(L7+L8)))</f>
        <v>0</v>
      </c>
      <c r="C16" s="11">
        <f>(((L5*(1+-5/100)*L6))-PMT(0.00375,(L9*12),-((L4*(1-L7))))*12)/((L4*(L7+L8)))</f>
        <v>0</v>
      </c>
      <c r="D16" s="11">
        <f>(((L5*(1+0/100)*L6))-PMT(0.00375,(L9*12),-((L4*(1-L7))))*12)/((L4*(L7+L8)))</f>
        <v>0</v>
      </c>
      <c r="E16" s="11">
        <f>(((L5*(1+5/100)*L6))-PMT(0.00375,(L9*12),-((L4*(1-L7))))*12)/((L4*(L7+L8)))</f>
        <v>0</v>
      </c>
      <c r="F16" s="11">
        <f>(((L5*(1+10/100)*L6))-PMT(0.00375,(L9*12),-((L4*(1-L7))))*12)/((L4*(L7+L8)))</f>
        <v>0</v>
      </c>
      <c r="G16" s="11">
        <f>(((L5*(1+15/100)*L6))-PMT(0.00375,(L9*12),-((L4*(1-L7))))*12)/((L4*(L7+L8)))</f>
        <v>0</v>
      </c>
      <c r="H16" s="11">
        <f>(((L5*(1+20/100)*L6))-PMT(0.00375,(L9*12),-((L4*(1-L7))))*12)/((L4*(L7+L8)))</f>
        <v>0</v>
      </c>
    </row>
    <row r="17" spans="1:8">
      <c r="A17" s="5" t="s">
        <v>163</v>
      </c>
      <c r="B17" s="11">
        <f>(((L5*(1+-10/100)*L6))-PMT(0.004166666666666667,(L9*12),-((L4*(1-L7))))*12)/((L4*(L7+L8)))</f>
        <v>0</v>
      </c>
      <c r="C17" s="11">
        <f>(((L5*(1+-5/100)*L6))-PMT(0.004166666666666667,(L9*12),-((L4*(1-L7))))*12)/((L4*(L7+L8)))</f>
        <v>0</v>
      </c>
      <c r="D17" s="11">
        <f>(((L5*(1+0/100)*L6))-PMT(0.004166666666666667,(L9*12),-((L4*(1-L7))))*12)/((L4*(L7+L8)))</f>
        <v>0</v>
      </c>
      <c r="E17" s="11">
        <f>(((L5*(1+5/100)*L6))-PMT(0.004166666666666667,(L9*12),-((L4*(1-L7))))*12)/((L4*(L7+L8)))</f>
        <v>0</v>
      </c>
      <c r="F17" s="11">
        <f>(((L5*(1+10/100)*L6))-PMT(0.004166666666666667,(L9*12),-((L4*(1-L7))))*12)/((L4*(L7+L8)))</f>
        <v>0</v>
      </c>
      <c r="G17" s="11">
        <f>(((L5*(1+15/100)*L6))-PMT(0.004166666666666667,(L9*12),-((L4*(1-L7))))*12)/((L4*(L7+L8)))</f>
        <v>0</v>
      </c>
      <c r="H17" s="11">
        <f>(((L5*(1+20/100)*L6))-PMT(0.004166666666666667,(L9*12),-((L4*(1-L7))))*12)/((L4*(L7+L8)))</f>
        <v>0</v>
      </c>
    </row>
    <row r="18" spans="1:8">
      <c r="A18" s="5" t="s">
        <v>164</v>
      </c>
      <c r="B18" s="11">
        <f>(((L5*(1+-10/100)*L6))-PMT(0.004583333333333333,(L9*12),-((L4*(1-L7))))*12)/((L4*(L7+L8)))</f>
        <v>0</v>
      </c>
      <c r="C18" s="11">
        <f>(((L5*(1+-5/100)*L6))-PMT(0.004583333333333333,(L9*12),-((L4*(1-L7))))*12)/((L4*(L7+L8)))</f>
        <v>0</v>
      </c>
      <c r="D18" s="11">
        <f>(((L5*(1+0/100)*L6))-PMT(0.004583333333333333,(L9*12),-((L4*(1-L7))))*12)/((L4*(L7+L8)))</f>
        <v>0</v>
      </c>
      <c r="E18" s="11">
        <f>(((L5*(1+5/100)*L6))-PMT(0.004583333333333333,(L9*12),-((L4*(1-L7))))*12)/((L4*(L7+L8)))</f>
        <v>0</v>
      </c>
      <c r="F18" s="11">
        <f>(((L5*(1+10/100)*L6))-PMT(0.004583333333333333,(L9*12),-((L4*(1-L7))))*12)/((L4*(L7+L8)))</f>
        <v>0</v>
      </c>
      <c r="G18" s="11">
        <f>(((L5*(1+15/100)*L6))-PMT(0.004583333333333333,(L9*12),-((L4*(1-L7))))*12)/((L4*(L7+L8)))</f>
        <v>0</v>
      </c>
      <c r="H18" s="11">
        <f>(((L5*(1+20/100)*L6))-PMT(0.004583333333333333,(L9*12),-((L4*(1-L7))))*12)/((L4*(L7+L8)))</f>
        <v>0</v>
      </c>
    </row>
    <row r="19" spans="1:8">
      <c r="A19" s="5" t="s">
        <v>165</v>
      </c>
      <c r="B19" s="11">
        <f>(((L5*(1+-10/100)*L6))-PMT(0.005,(L9*12),-((L4*(1-L7))))*12)/((L4*(L7+L8)))</f>
        <v>0</v>
      </c>
      <c r="C19" s="11">
        <f>(((L5*(1+-5/100)*L6))-PMT(0.005,(L9*12),-((L4*(1-L7))))*12)/((L4*(L7+L8)))</f>
        <v>0</v>
      </c>
      <c r="D19" s="11">
        <f>(((L5*(1+0/100)*L6))-PMT(0.005,(L9*12),-((L4*(1-L7))))*12)/((L4*(L7+L8)))</f>
        <v>0</v>
      </c>
      <c r="E19" s="11">
        <f>(((L5*(1+5/100)*L6))-PMT(0.005,(L9*12),-((L4*(1-L7))))*12)/((L4*(L7+L8)))</f>
        <v>0</v>
      </c>
      <c r="F19" s="11">
        <f>(((L5*(1+10/100)*L6))-PMT(0.005,(L9*12),-((L4*(1-L7))))*12)/((L4*(L7+L8)))</f>
        <v>0</v>
      </c>
      <c r="G19" s="11">
        <f>(((L5*(1+15/100)*L6))-PMT(0.005,(L9*12),-((L4*(1-L7))))*12)/((L4*(L7+L8)))</f>
        <v>0</v>
      </c>
      <c r="H19" s="11">
        <f>(((L5*(1+20/100)*L6))-PMT(0.005,(L9*12),-((L4*(1-L7))))*12)/((L4*(L7+L8)))</f>
        <v>0</v>
      </c>
    </row>
    <row r="20" spans="1:8">
      <c r="A20" s="5" t="s">
        <v>166</v>
      </c>
      <c r="B20" s="11">
        <f>(((L5*(1+-10/100)*L6))-PMT(0.005416666666666667,(L9*12),-((L4*(1-L7))))*12)/((L4*(L7+L8)))</f>
        <v>0</v>
      </c>
      <c r="C20" s="11">
        <f>(((L5*(1+-5/100)*L6))-PMT(0.005416666666666667,(L9*12),-((L4*(1-L7))))*12)/((L4*(L7+L8)))</f>
        <v>0</v>
      </c>
      <c r="D20" s="11">
        <f>(((L5*(1+0/100)*L6))-PMT(0.005416666666666667,(L9*12),-((L4*(1-L7))))*12)/((L4*(L7+L8)))</f>
        <v>0</v>
      </c>
      <c r="E20" s="11">
        <f>(((L5*(1+5/100)*L6))-PMT(0.005416666666666667,(L9*12),-((L4*(1-L7))))*12)/((L4*(L7+L8)))</f>
        <v>0</v>
      </c>
      <c r="F20" s="11">
        <f>(((L5*(1+10/100)*L6))-PMT(0.005416666666666667,(L9*12),-((L4*(1-L7))))*12)/((L4*(L7+L8)))</f>
        <v>0</v>
      </c>
      <c r="G20" s="11">
        <f>(((L5*(1+15/100)*L6))-PMT(0.005416666666666667,(L9*12),-((L4*(1-L7))))*12)/((L4*(L7+L8)))</f>
        <v>0</v>
      </c>
      <c r="H20" s="11">
        <f>(((L5*(1+20/100)*L6))-PMT(0.005416666666666667,(L9*12),-((L4*(1-L7))))*12)/((L4*(L7+L8)))</f>
        <v>0</v>
      </c>
    </row>
  </sheetData>
  <mergeCells count="4">
    <mergeCell ref="A1:H1"/>
    <mergeCell ref="K2:L2"/>
    <mergeCell ref="A3:H3"/>
    <mergeCell ref="A12:H12"/>
  </mergeCells>
  <printOptions horizontalCentered="1"/>
  <pageMargins left="0.5" right="0.5" top="0.75" bottom="0.75" header="0.3" footer="0.3"/>
  <pageSetup fitToHeight="0" orientation="landscape"/>
  <headerFooter>
    <oddHeader>&amp;C&amp;"Arial,Bold"Real Estate Investment Analysis</oddHeader>
    <oddFooter>&amp;L&amp;D &amp;T&amp;C&amp;P&amp;R&amp;F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Pro Forma Analysis</vt:lpstr>
      <vt:lpstr>Assumptions</vt:lpstr>
      <vt:lpstr>Sensitivity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2025-07-24T20:56:41Z</dcterms:created>
  <dcterms:modified xsi:type="dcterms:W3CDTF">2025-07-24T20:56:41Z</dcterms:modified>
</cp:coreProperties>
</file>