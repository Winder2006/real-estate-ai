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<sst xmlns="http://schemas.openxmlformats.org/spreadsheetml/2006/main" count="219" uniqueCount="167">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</sst>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tabSelected="1" workbookViewId="0"/>
  </sheetViews>
  <sheetFormatPr defaultRowHeight="15"/>
  <cols>
    <col min="1" max="1" width="25.7109375" customWidth="1"/>
    <col min="2" max="5" width="15.7109375" customWidth="1"/>
    <col min="6" max="6" width="25.7109375" customWidth="1"/>
    <col min="7" max="7" width="15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F11" s="5" t="s">
        <v>86</v>
      </c>
      <c r="G11" s="9">
        <v>0.01</v>
      </c>
    </row>
    <row r="12" spans="1:7">
      <c r="F12" s="5" t="s">
        <v>87</v>
      </c>
      <c r="G12" s="9">
        <v>0.005</v>
      </c>
    </row>
    <row r="13" spans="1:7">
      <c r="F13" s="5" t="s">
        <v>88</v>
      </c>
      <c r="G13" s="9">
        <v>0.002</v>
      </c>
    </row>
    <row r="14" spans="1:7">
      <c r="F14" s="5" t="s">
        <v>89</v>
      </c>
      <c r="G14" s="9">
        <v>0.003</v>
      </c>
    </row>
    <row r="15" spans="1:7">
      <c r="F15" s="5" t="s">
        <v>90</v>
      </c>
      <c r="G15" s="9">
        <v>0.03</v>
      </c>
    </row>
    <row r="16" spans="1:7"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F18" s="5" t="s">
        <v>4</v>
      </c>
      <c r="G18" s="9">
        <v>0.25</v>
      </c>
    </row>
    <row r="19" spans="1:7">
      <c r="F19" s="5" t="s">
        <v>92</v>
      </c>
      <c r="G19" s="9">
        <v>0.055</v>
      </c>
    </row>
    <row r="20" spans="1:7">
      <c r="F20" s="5" t="s">
        <v>6</v>
      </c>
      <c r="G20" s="8">
        <v>30</v>
      </c>
    </row>
    <row r="21" spans="1:7">
      <c r="F21" s="5" t="s">
        <v>7</v>
      </c>
      <c r="G21" s="9">
        <v>0.03</v>
      </c>
    </row>
    <row r="22" spans="1:7">
      <c r="F22" s="5" t="s">
        <v>23</v>
      </c>
      <c r="G22" s="9">
        <v>0.06</v>
      </c>
    </row>
    <row r="23" spans="1:7">
      <c r="F23" s="5" t="s">
        <v>24</v>
      </c>
      <c r="G23" s="9">
        <v>0.07000000000000001</v>
      </c>
    </row>
    <row r="24" spans="1:7">
      <c r="A24" s="10" t="s">
        <v>93</v>
      </c>
      <c r="B24" s="10"/>
      <c r="C24" s="10"/>
      <c r="D24" s="10"/>
      <c r="E24" s="10"/>
    </row>
    <row r="25" spans="1:7">
      <c r="A25" s="2" t="s">
        <v>94</v>
      </c>
      <c r="B25" s="2" t="s">
        <v>72</v>
      </c>
      <c r="C25" s="2" t="s">
        <v>95</v>
      </c>
      <c r="D25" s="2" t="s">
        <v>96</v>
      </c>
    </row>
    <row r="26" spans="1:7">
      <c r="A26" s="6" t="s">
        <v>97</v>
      </c>
      <c r="B26" s="11">
        <v>0</v>
      </c>
      <c r="C26" s="11">
        <v>0.06</v>
      </c>
      <c r="D26" s="6" t="s">
        <v>98</v>
      </c>
    </row>
    <row r="27" spans="1:7">
      <c r="A27" s="6" t="s">
        <v>99</v>
      </c>
      <c r="B27" s="11">
        <v>0</v>
      </c>
      <c r="C27" s="11">
        <v>0.08</v>
      </c>
      <c r="D27" s="6" t="s">
        <v>98</v>
      </c>
    </row>
    <row r="28" spans="1:7">
      <c r="A28" s="6" t="s">
        <v>100</v>
      </c>
      <c r="B28" s="12">
        <v>0</v>
      </c>
      <c r="C28" s="12">
        <v>300</v>
      </c>
      <c r="D28" s="6" t="s">
        <v>98</v>
      </c>
    </row>
    <row r="29" spans="1:7">
      <c r="A29" s="6" t="s">
        <v>101</v>
      </c>
      <c r="B29" s="11">
        <v>0</v>
      </c>
      <c r="C29" s="11">
        <v>0.008</v>
      </c>
      <c r="D29" s="6" t="s">
        <v>98</v>
      </c>
    </row>
    <row r="31" spans="1:7">
      <c r="A31" s="4" t="s">
        <v>102</v>
      </c>
      <c r="B31" s="4"/>
      <c r="C31" s="4"/>
      <c r="D31" s="4"/>
      <c r="E31" s="4"/>
    </row>
    <row r="32" spans="1:7">
      <c r="A32" s="2" t="s">
        <v>103</v>
      </c>
      <c r="B32" s="2" t="s">
        <v>104</v>
      </c>
      <c r="C32" s="2" t="s">
        <v>105</v>
      </c>
      <c r="D32" s="2" t="s">
        <v>106</v>
      </c>
    </row>
    <row r="33" spans="1:4">
      <c r="A33" s="6" t="s">
        <v>34</v>
      </c>
      <c r="B33" s="12">
        <f>'Pro Forma Analysis'!B8/12</f>
        <v>0</v>
      </c>
      <c r="C33" s="12">
        <f>'Pro Forma Analysis'!B8</f>
        <v>0</v>
      </c>
      <c r="D33" s="12">
        <f>SUM('Pro Forma Analysis'!B8:F8)</f>
        <v>0</v>
      </c>
    </row>
    <row r="34" spans="1:4">
      <c r="A34" s="6" t="s">
        <v>107</v>
      </c>
      <c r="B34" s="12">
        <f>'Pro Forma Analysis'!B22/12</f>
        <v>0</v>
      </c>
      <c r="C34" s="12">
        <f>'Pro Forma Analysis'!B22</f>
        <v>0</v>
      </c>
      <c r="D34" s="12">
        <f>SUM('Pro Forma Analysis'!B22:F22)</f>
        <v>0</v>
      </c>
    </row>
    <row r="35" spans="1:4">
      <c r="A35" s="6" t="s">
        <v>108</v>
      </c>
      <c r="B35" s="12">
        <f>'Pro Forma Analysis'!B25/12</f>
        <v>0</v>
      </c>
      <c r="C35" s="12">
        <f>'Pro Forma Analysis'!B25</f>
        <v>0</v>
      </c>
      <c r="D35" s="12">
        <f>SUM('Pro Forma Analysis'!B25:F25)</f>
        <v>0</v>
      </c>
    </row>
    <row r="36" spans="1:4">
      <c r="A36" s="6" t="s">
        <v>109</v>
      </c>
      <c r="B36" s="12">
        <f>'Pro Forma Analysis'!B28/12</f>
        <v>0</v>
      </c>
      <c r="C36" s="12">
        <f>'Pro Forma Analysis'!B28</f>
        <v>0</v>
      </c>
      <c r="D36" s="12">
        <f>SUM('Pro Forma Analysis'!B28:F28)</f>
        <v>0</v>
      </c>
    </row>
    <row r="37" spans="1:4">
      <c r="A37" s="6" t="s">
        <v>110</v>
      </c>
      <c r="B37" s="12">
        <f>'Pro Forma Analysis'!B31/12</f>
        <v>0</v>
      </c>
      <c r="C37" s="12">
        <f>'Pro Forma Analysis'!B31</f>
        <v>0</v>
      </c>
      <c r="D37" s="12">
        <f>SUM('Pro Forma Analysis'!B31:F31)</f>
        <v>0</v>
      </c>
    </row>
    <row r="39" spans="1:4">
      <c r="A39" s="6" t="s">
        <v>111</v>
      </c>
    </row>
  </sheetData>
  <mergeCells count="6">
    <mergeCell ref="A1:E1"/>
    <mergeCell ref="A2:E2"/>
    <mergeCell ref="A4:E4"/>
    <mergeCell ref="F5:G5"/>
    <mergeCell ref="A24:E24"/>
    <mergeCell ref="A31:E3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2025-07-24T21:19:05Z</dcterms:created>
  <dcterms:modified xsi:type="dcterms:W3CDTF">2025-07-24T21:19:05Z</dcterms:modified>
</cp:coreProperties>
</file>