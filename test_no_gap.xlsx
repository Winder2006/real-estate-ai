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<sst xmlns="http://schemas.openxmlformats.org/spreadsheetml/2006/main" count="219" uniqueCount="167">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</sst>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tabSelected="1" workbookViewId="0"/>
  </sheetViews>
  <sheetFormatPr defaultRowHeight="15"/>
  <cols>
    <col min="1" max="1" width="25.7109375" customWidth="1"/>
    <col min="2" max="5" width="15.7109375" customWidth="1"/>
    <col min="6" max="6" width="25.7109375" customWidth="1"/>
    <col min="7" max="7" width="15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A11" s="10" t="s">
        <v>93</v>
      </c>
      <c r="B11" s="10"/>
      <c r="C11" s="10"/>
      <c r="D11" s="10"/>
      <c r="E11" s="10"/>
      <c r="F11" s="5" t="s">
        <v>86</v>
      </c>
      <c r="G11" s="9">
        <v>0.01</v>
      </c>
    </row>
    <row r="12" spans="1:7">
      <c r="A12" s="2" t="s">
        <v>94</v>
      </c>
      <c r="B12" s="2" t="s">
        <v>72</v>
      </c>
      <c r="C12" s="2" t="s">
        <v>95</v>
      </c>
      <c r="D12" s="2" t="s">
        <v>96</v>
      </c>
      <c r="F12" s="5" t="s">
        <v>87</v>
      </c>
      <c r="G12" s="9">
        <v>0.005</v>
      </c>
    </row>
    <row r="13" spans="1:7">
      <c r="A13" s="6" t="s">
        <v>97</v>
      </c>
      <c r="B13" s="11">
        <v>0</v>
      </c>
      <c r="C13" s="11">
        <v>0.06</v>
      </c>
      <c r="D13" s="6" t="s">
        <v>98</v>
      </c>
      <c r="F13" s="5" t="s">
        <v>88</v>
      </c>
      <c r="G13" s="9">
        <v>0.002</v>
      </c>
    </row>
    <row r="14" spans="1:7">
      <c r="A14" s="6" t="s">
        <v>99</v>
      </c>
      <c r="B14" s="11">
        <v>0</v>
      </c>
      <c r="C14" s="11">
        <v>0.08</v>
      </c>
      <c r="D14" s="6" t="s">
        <v>98</v>
      </c>
      <c r="F14" s="5" t="s">
        <v>89</v>
      </c>
      <c r="G14" s="9">
        <v>0.003</v>
      </c>
    </row>
    <row r="15" spans="1:7">
      <c r="A15" s="6" t="s">
        <v>100</v>
      </c>
      <c r="B15" s="12">
        <v>0</v>
      </c>
      <c r="C15" s="12">
        <v>300</v>
      </c>
      <c r="D15" s="6" t="s">
        <v>98</v>
      </c>
      <c r="F15" s="5" t="s">
        <v>90</v>
      </c>
      <c r="G15" s="9">
        <v>0.03</v>
      </c>
    </row>
    <row r="16" spans="1:7">
      <c r="A16" s="6" t="s">
        <v>101</v>
      </c>
      <c r="B16" s="11">
        <v>0</v>
      </c>
      <c r="C16" s="11">
        <v>0.008</v>
      </c>
      <c r="D16" s="6" t="s">
        <v>98</v>
      </c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A18" s="4" t="s">
        <v>102</v>
      </c>
      <c r="B18" s="4"/>
      <c r="C18" s="4"/>
      <c r="D18" s="4"/>
      <c r="E18" s="4"/>
      <c r="F18" s="5" t="s">
        <v>4</v>
      </c>
      <c r="G18" s="9">
        <v>0.25</v>
      </c>
    </row>
    <row r="19" spans="1:7">
      <c r="A19" s="2" t="s">
        <v>103</v>
      </c>
      <c r="B19" s="2" t="s">
        <v>104</v>
      </c>
      <c r="C19" s="2" t="s">
        <v>105</v>
      </c>
      <c r="D19" s="2" t="s">
        <v>106</v>
      </c>
      <c r="F19" s="5" t="s">
        <v>92</v>
      </c>
      <c r="G19" s="9">
        <v>0.055</v>
      </c>
    </row>
    <row r="20" spans="1:7">
      <c r="A20" s="6" t="s">
        <v>34</v>
      </c>
      <c r="B20" s="12">
        <f>'Pro Forma Analysis'!B8/12</f>
        <v>0</v>
      </c>
      <c r="C20" s="12">
        <f>'Pro Forma Analysis'!B8</f>
        <v>0</v>
      </c>
      <c r="D20" s="12">
        <f>SUM('Pro Forma Analysis'!B8:F8)</f>
        <v>0</v>
      </c>
      <c r="F20" s="5" t="s">
        <v>6</v>
      </c>
      <c r="G20" s="8">
        <v>30</v>
      </c>
    </row>
    <row r="21" spans="1:7">
      <c r="A21" s="6" t="s">
        <v>107</v>
      </c>
      <c r="B21" s="12">
        <f>'Pro Forma Analysis'!B22/12</f>
        <v>0</v>
      </c>
      <c r="C21" s="12">
        <f>'Pro Forma Analysis'!B22</f>
        <v>0</v>
      </c>
      <c r="D21" s="12">
        <f>SUM('Pro Forma Analysis'!B22:F22)</f>
        <v>0</v>
      </c>
      <c r="F21" s="5" t="s">
        <v>7</v>
      </c>
      <c r="G21" s="9">
        <v>0.03</v>
      </c>
    </row>
    <row r="22" spans="1:7">
      <c r="A22" s="6" t="s">
        <v>108</v>
      </c>
      <c r="B22" s="12">
        <f>'Pro Forma Analysis'!B25/12</f>
        <v>0</v>
      </c>
      <c r="C22" s="12">
        <f>'Pro Forma Analysis'!B25</f>
        <v>0</v>
      </c>
      <c r="D22" s="12">
        <f>SUM('Pro Forma Analysis'!B25:F25)</f>
        <v>0</v>
      </c>
      <c r="F22" s="5" t="s">
        <v>23</v>
      </c>
      <c r="G22" s="9">
        <v>0.06</v>
      </c>
    </row>
    <row r="23" spans="1:7">
      <c r="A23" s="6" t="s">
        <v>109</v>
      </c>
      <c r="B23" s="12">
        <f>'Pro Forma Analysis'!B28/12</f>
        <v>0</v>
      </c>
      <c r="C23" s="12">
        <f>'Pro Forma Analysis'!B28</f>
        <v>0</v>
      </c>
      <c r="D23" s="12">
        <f>SUM('Pro Forma Analysis'!B28:F28)</f>
        <v>0</v>
      </c>
      <c r="F23" s="5" t="s">
        <v>24</v>
      </c>
      <c r="G23" s="9">
        <v>0.07000000000000001</v>
      </c>
    </row>
    <row r="24" spans="1:7">
      <c r="A24" s="6" t="s">
        <v>110</v>
      </c>
      <c r="B24" s="12">
        <f>'Pro Forma Analysis'!B31/12</f>
        <v>0</v>
      </c>
      <c r="C24" s="12">
        <f>'Pro Forma Analysis'!B31</f>
        <v>0</v>
      </c>
      <c r="D24" s="12">
        <f>SUM('Pro Forma Analysis'!B31:F31)</f>
        <v>0</v>
      </c>
    </row>
    <row r="26" spans="1:7">
      <c r="A26" s="6" t="s">
        <v>111</v>
      </c>
    </row>
  </sheetData>
  <mergeCells count="6">
    <mergeCell ref="A1:E1"/>
    <mergeCell ref="A2:E2"/>
    <mergeCell ref="A4:E4"/>
    <mergeCell ref="F5:G5"/>
    <mergeCell ref="A11:E11"/>
    <mergeCell ref="A18:E1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5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5" t="s">
        <v>57</v>
      </c>
    </row>
    <row r="36" spans="1:8">
      <c r="A36" s="6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6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6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5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5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5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6">
        <f>SUM(C43:F43)/ABS(B43)</f>
        <v>0</v>
      </c>
    </row>
    <row r="48" spans="1:8">
      <c r="A48" s="6" t="s">
        <v>67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2">
        <v>0</v>
      </c>
      <c r="C5" s="17" t="s">
        <v>116</v>
      </c>
    </row>
    <row r="6" spans="1:3">
      <c r="A6" s="6" t="s">
        <v>117</v>
      </c>
      <c r="B6" s="16">
        <v>0</v>
      </c>
      <c r="C6" s="17" t="s">
        <v>118</v>
      </c>
    </row>
    <row r="7" spans="1:3">
      <c r="A7" s="6" t="s">
        <v>119</v>
      </c>
      <c r="B7" s="16">
        <v>0</v>
      </c>
      <c r="C7" s="17" t="s">
        <v>120</v>
      </c>
    </row>
    <row r="8" spans="1:3">
      <c r="A8" s="6" t="s">
        <v>121</v>
      </c>
      <c r="B8" s="16">
        <v>0</v>
      </c>
      <c r="C8" s="17" t="s">
        <v>122</v>
      </c>
    </row>
    <row r="9" spans="1:3">
      <c r="A9" s="6" t="s">
        <v>75</v>
      </c>
      <c r="B9" s="6" t="s">
        <v>76</v>
      </c>
      <c r="C9" s="17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7" t="s">
        <v>124</v>
      </c>
    </row>
    <row r="14" spans="1:3">
      <c r="A14" s="6" t="s">
        <v>5</v>
      </c>
      <c r="B14" s="11">
        <v>0.055</v>
      </c>
      <c r="C14" s="17" t="s">
        <v>125</v>
      </c>
    </row>
    <row r="15" spans="1:3">
      <c r="A15" s="6" t="s">
        <v>6</v>
      </c>
      <c r="B15" s="16">
        <v>30</v>
      </c>
      <c r="C15" s="17" t="s">
        <v>126</v>
      </c>
    </row>
    <row r="16" spans="1:3">
      <c r="A16" s="6" t="s">
        <v>90</v>
      </c>
      <c r="B16" s="11">
        <v>0.03</v>
      </c>
      <c r="C16" s="17" t="s">
        <v>127</v>
      </c>
    </row>
    <row r="17" spans="1:3">
      <c r="A17" s="6" t="s">
        <v>91</v>
      </c>
      <c r="B17" s="11">
        <v>0.005</v>
      </c>
      <c r="C17" s="17" t="s">
        <v>128</v>
      </c>
    </row>
    <row r="18" spans="1:3">
      <c r="A18" s="6" t="s">
        <v>129</v>
      </c>
      <c r="B18" s="11">
        <v>0.01</v>
      </c>
      <c r="C18" s="17" t="s">
        <v>130</v>
      </c>
    </row>
    <row r="19" spans="1:3">
      <c r="A19" s="6" t="s">
        <v>131</v>
      </c>
      <c r="B19" s="11">
        <v>0.01</v>
      </c>
      <c r="C19" s="17" t="s">
        <v>132</v>
      </c>
    </row>
    <row r="20" spans="1:3">
      <c r="A20" s="6" t="s">
        <v>21</v>
      </c>
      <c r="B20" s="11">
        <v>0.05</v>
      </c>
      <c r="C20" s="17" t="s">
        <v>133</v>
      </c>
    </row>
    <row r="21" spans="1:3">
      <c r="A21" s="6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7" t="s">
        <v>137</v>
      </c>
    </row>
    <row r="26" spans="1:3">
      <c r="A26" s="6" t="s">
        <v>138</v>
      </c>
      <c r="B26" s="11">
        <v>0.03</v>
      </c>
      <c r="C26" s="17" t="s">
        <v>139</v>
      </c>
    </row>
    <row r="27" spans="1:3">
      <c r="A27" s="6" t="s">
        <v>16</v>
      </c>
      <c r="B27" s="11">
        <v>0.025</v>
      </c>
      <c r="C27" s="17" t="s">
        <v>140</v>
      </c>
    </row>
    <row r="28" spans="1:3">
      <c r="A28" s="6" t="s">
        <v>141</v>
      </c>
      <c r="B28" s="11">
        <v>0.08</v>
      </c>
      <c r="C28" s="17" t="s">
        <v>142</v>
      </c>
    </row>
    <row r="29" spans="1:3">
      <c r="A29" s="6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2025-07-24T21:20:48Z</dcterms:created>
  <dcterms:modified xsi:type="dcterms:W3CDTF">2025-07-24T21:20:48Z</dcterms:modified>
</cp:coreProperties>
</file>